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C:\Users\Gigabyte HP\Desktop\"/>
    </mc:Choice>
  </mc:AlternateContent>
  <xr:revisionPtr revIDLastSave="0" documentId="8_{2F9829B1-CF7C-4374-89DF-88557A3292F2}" xr6:coauthVersionLast="47" xr6:coauthVersionMax="47" xr10:uidLastSave="{00000000-0000-0000-0000-000000000000}"/>
  <bookViews>
    <workbookView xWindow="-108" yWindow="-108" windowWidth="23256" windowHeight="12576" activeTab="2" xr2:uid="{9E2F483C-DFA7-41AE-B8F5-EBF9BDE3D197}"/>
  </bookViews>
  <sheets>
    <sheet name="Data" sheetId="1" r:id="rId1"/>
    <sheet name="Pivot Table" sheetId="2" r:id="rId2"/>
    <sheet name="Dashboard" sheetId="3" r:id="rId3"/>
  </sheets>
  <definedNames>
    <definedName name="Slicer_order_date__تاريخ_الطلب">#N/A</definedName>
    <definedName name="Slicer_pizza_category__فئة_البيتزا">#N/A</definedName>
    <definedName name="Slicer_pizza_size__حجم_البيتزا">#N/A</definedName>
  </definedNames>
  <calcPr calcId="191029"/>
  <pivotCaches>
    <pivotCache cacheId="5"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7" i="3" l="1"/>
  <c r="N7" i="3"/>
  <c r="F7"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696CE7-90DE-437E-8592-537594C3BBD1}" keepAlive="1" name="Query - Data" description="Connection to the 'Data' query in the workbook." type="5" refreshedVersion="0" background="1">
    <dbPr connection="Provider=Microsoft.Mashup.OleDb.1;Data Source=$Workbook$;Location=Data;Extended Properties=&quot;&quot;" command="SELECT * FROM [Data]"/>
  </connection>
</connections>
</file>

<file path=xl/sharedStrings.xml><?xml version="1.0" encoding="utf-8"?>
<sst xmlns="http://schemas.openxmlformats.org/spreadsheetml/2006/main" count="3394" uniqueCount="822">
  <si>
    <t>order_id (رقم الطلب)</t>
  </si>
  <si>
    <t>pizza_id (رقم البيتزا)</t>
  </si>
  <si>
    <t>Customer Name (اسم العميل)</t>
  </si>
  <si>
    <t>quantity (الكمية)</t>
  </si>
  <si>
    <t>order_date (تاريخ الطلب)</t>
  </si>
  <si>
    <t>order_time (وقت الطلب)</t>
  </si>
  <si>
    <t>unit_price (سعر الوحدة)</t>
  </si>
  <si>
    <t>Sales</t>
  </si>
  <si>
    <t>pizza_size (حجم البيتزا)</t>
  </si>
  <si>
    <t>pizza_category (فئة البيتزا)</t>
  </si>
  <si>
    <t>pizza_ingredients (مكونات البيتزا)</t>
  </si>
  <si>
    <t>pizza_name (اسم البيتزا)</t>
  </si>
  <si>
    <t>classic_dlx_m</t>
  </si>
  <si>
    <t>Ashley Turner</t>
  </si>
  <si>
    <t>M</t>
  </si>
  <si>
    <t>Classic</t>
  </si>
  <si>
    <t>Pepperoni, Mushrooms, Red Onions, Red Peppers, Bacon</t>
  </si>
  <si>
    <t>The Classic Deluxe Pizza</t>
  </si>
  <si>
    <t>cali_ckn_l</t>
  </si>
  <si>
    <t>Taylor Mitchell</t>
  </si>
  <si>
    <t>L</t>
  </si>
  <si>
    <t>Chicken</t>
  </si>
  <si>
    <t>Chicken, Artichoke, Spinach, Garlic, Jalapeno Peppers, Fontina Cheese, Gouda Cheese</t>
  </si>
  <si>
    <t>The California Chicken Pizza</t>
  </si>
  <si>
    <t>five_cheese_l</t>
  </si>
  <si>
    <t>Amanda Clark</t>
  </si>
  <si>
    <t>Veggie</t>
  </si>
  <si>
    <t>Mozzarella Cheese, Provolone Cheese, Smoked Gouda Cheese, Romano Cheese, Blue Cheese, Garlic</t>
  </si>
  <si>
    <t>The Five Cheese Pizza</t>
  </si>
  <si>
    <t>soppressata_l</t>
  </si>
  <si>
    <t>Emily Parker</t>
  </si>
  <si>
    <t>Supreme</t>
  </si>
  <si>
    <t>Soppressata Salami, Fontina Cheese, Mozzarella Cheese, Mushrooms, Garlic</t>
  </si>
  <si>
    <t>The Soppressata Pizza</t>
  </si>
  <si>
    <t>the_greek_xl</t>
  </si>
  <si>
    <t>Jacob Wright</t>
  </si>
  <si>
    <t>XL</t>
  </si>
  <si>
    <t>Kalamata Olives, Feta Cheese, Tomatoes, Garlic, Beef Chuck Roast, Red Onions</t>
  </si>
  <si>
    <t>The Greek Pizza</t>
  </si>
  <si>
    <t>pepperoni_l</t>
  </si>
  <si>
    <t>Sophia Adams</t>
  </si>
  <si>
    <t>Mozzarella Cheese, Pepperoni</t>
  </si>
  <si>
    <t>The Pepperoni Pizza</t>
  </si>
  <si>
    <t>prsc_argla_s</t>
  </si>
  <si>
    <t>Jacob Harris</t>
  </si>
  <si>
    <t>S</t>
  </si>
  <si>
    <t>Prosciutto di San Daniele, Arugula, Mozzarella Cheese</t>
  </si>
  <si>
    <t>The Prosciutto and Arugula Pizza</t>
  </si>
  <si>
    <t>ital_supr_l</t>
  </si>
  <si>
    <t>Elizabeth Wright</t>
  </si>
  <si>
    <t>Calabrese Salami, Capocollo, Tomatoes, Red Onions, Green Olives, Garlic</t>
  </si>
  <si>
    <t>The Italian Supreme Pizza</t>
  </si>
  <si>
    <t>soppressata_s</t>
  </si>
  <si>
    <t>Hannah Garcia</t>
  </si>
  <si>
    <t>mexicana_s</t>
  </si>
  <si>
    <t>Zachary Smith</t>
  </si>
  <si>
    <t>Tomatoes, Red Peppers, Jalapeno Peppers, Red Onions, Cilantro, Corn, Chipotle Sauce, Garlic</t>
  </si>
  <si>
    <t>The Mexicana Pizza</t>
  </si>
  <si>
    <t>four_cheese_l</t>
  </si>
  <si>
    <t>Ashley Evans</t>
  </si>
  <si>
    <t>Ricotta Cheese, Gorgonzola Piccante Cheese, Mozzarella Cheese, Parmigiano Reggiano Cheese, Garlic</t>
  </si>
  <si>
    <t>The Four Cheese Pizza</t>
  </si>
  <si>
    <t>the_greek_m</t>
  </si>
  <si>
    <t>Megan Turner</t>
  </si>
  <si>
    <t>1/13/2015</t>
  </si>
  <si>
    <t>Logan Evans</t>
  </si>
  <si>
    <t>1/14/2015</t>
  </si>
  <si>
    <t>Megan Collins</t>
  </si>
  <si>
    <t>1/16/2015</t>
  </si>
  <si>
    <t>spicy_ital_l</t>
  </si>
  <si>
    <t>Amber Wright</t>
  </si>
  <si>
    <t>Capocollo, Tomatoes, Goat Cheese, Artichokes, Peperoncini verdi, Garlic</t>
  </si>
  <si>
    <t>The Spicy Italian Pizza</t>
  </si>
  <si>
    <t>ital_veggie_m</t>
  </si>
  <si>
    <t>Brandon Jones</t>
  </si>
  <si>
    <t>Eggplant, Artichokes, Tomatoes, Zucchini, Red Peppers, Garlic, Pesto Sauce</t>
  </si>
  <si>
    <t>The Italian Vegetables Pizza</t>
  </si>
  <si>
    <t>sicilian_s</t>
  </si>
  <si>
    <t>Samantha Lewis</t>
  </si>
  <si>
    <t>1/17/2015</t>
  </si>
  <si>
    <t>Coarse Sicilian Salami, Tomatoes, Green Olives, Luganega Sausage, Onions, Garlic</t>
  </si>
  <si>
    <t>The Sicilian Pizza</t>
  </si>
  <si>
    <t>Courtney Gonzalez</t>
  </si>
  <si>
    <t>1/18/2015</t>
  </si>
  <si>
    <t>bbq_ckn_s</t>
  </si>
  <si>
    <t>Alexis Smith</t>
  </si>
  <si>
    <t>1/19/2015</t>
  </si>
  <si>
    <t>Barbecued Chicken, Red Peppers, Green Peppers, Tomatoes, Red Onions, Barbecue Sauce</t>
  </si>
  <si>
    <t>The Barbecue Chicken Pizza</t>
  </si>
  <si>
    <t>Rachel Anderson</t>
  </si>
  <si>
    <t>sicilian_l</t>
  </si>
  <si>
    <t>Madison Davis</t>
  </si>
  <si>
    <t>1/21/2015</t>
  </si>
  <si>
    <t>peppr_salami_m</t>
  </si>
  <si>
    <t>Ashley Scott</t>
  </si>
  <si>
    <t>Genoa Salami, Capocollo, Pepperoni, Tomatoes, Asiago Cheese, Garlic</t>
  </si>
  <si>
    <t>The Pepper Salami Pizza</t>
  </si>
  <si>
    <t>southw_ckn_s</t>
  </si>
  <si>
    <t>Christopher King</t>
  </si>
  <si>
    <t>1/22/2015</t>
  </si>
  <si>
    <t>Chicken, Tomatoes, Red Peppers, Red Onions, Jalapeno Peppers, Corn, Cilantro, Chipotle Sauce</t>
  </si>
  <si>
    <t>The Southwest Chicken Pizza</t>
  </si>
  <si>
    <t>pepperoni_s</t>
  </si>
  <si>
    <t>Robert Thompson</t>
  </si>
  <si>
    <t>1/23/2015</t>
  </si>
  <si>
    <t>mediterraneo_l</t>
  </si>
  <si>
    <t>Elizabeth Moore</t>
  </si>
  <si>
    <t>1/24/2015</t>
  </si>
  <si>
    <t>Spinach, Artichokes, Kalamata Olives, Sun-dried Tomatoes, Feta Cheese, Plum Tomatoes, Red Onions</t>
  </si>
  <si>
    <t>The Mediterranean Pizza</t>
  </si>
  <si>
    <t>Sarah Parker</t>
  </si>
  <si>
    <t>1/25/2015</t>
  </si>
  <si>
    <t>thai_ckn_l</t>
  </si>
  <si>
    <t>Zachary Garcia</t>
  </si>
  <si>
    <t>1/26/2015</t>
  </si>
  <si>
    <t>Chicken, Pineapple, Tomatoes, Red Peppers, Thai Sweet Chilli Sauce</t>
  </si>
  <si>
    <t>The Thai Chicken Pizza</t>
  </si>
  <si>
    <t>hawaiian_l</t>
  </si>
  <si>
    <t>Brianna Moore</t>
  </si>
  <si>
    <t>1/27/2015</t>
  </si>
  <si>
    <t>Sliced Ham, Pineapple, Mozzarella Cheese</t>
  </si>
  <si>
    <t>The Hawaiian Pizza</t>
  </si>
  <si>
    <t>Ashley Garcia</t>
  </si>
  <si>
    <t>Amanda Torres</t>
  </si>
  <si>
    <t>1/28/2015</t>
  </si>
  <si>
    <t>bbq_ckn_l</t>
  </si>
  <si>
    <t>Jessica Martin</t>
  </si>
  <si>
    <t>1/29/2015</t>
  </si>
  <si>
    <t>Elizabeth Sanchez</t>
  </si>
  <si>
    <t>Dylan Wright</t>
  </si>
  <si>
    <t>1/30/2015</t>
  </si>
  <si>
    <t>spicy_ital_s</t>
  </si>
  <si>
    <t>Logan Hernandez</t>
  </si>
  <si>
    <t>mexicana_m</t>
  </si>
  <si>
    <t>Zachary Johnson</t>
  </si>
  <si>
    <t>Dylan Nelson</t>
  </si>
  <si>
    <t>veggie_veg_m</t>
  </si>
  <si>
    <t>Brianna Allen</t>
  </si>
  <si>
    <t>Mushrooms, Tomatoes, Red Peppers, Green Peppers, Red Onions, Zucchini, Spinach, Garlic</t>
  </si>
  <si>
    <t>The Vegetables + Vegetables Pizza</t>
  </si>
  <si>
    <t>peppr_salami_s</t>
  </si>
  <si>
    <t>Andrew Wright</t>
  </si>
  <si>
    <t>hawaiian_s</t>
  </si>
  <si>
    <t>Elizabeth Harris</t>
  </si>
  <si>
    <t>Anthony Ramirez</t>
  </si>
  <si>
    <t>ckn_alfredo_m</t>
  </si>
  <si>
    <t>Justin Allen</t>
  </si>
  <si>
    <t>Chicken, Red Onions, Red Peppers, Mushrooms, Asiago Cheese, Alfredo Sauce</t>
  </si>
  <si>
    <t>The Chicken Alfredo Pizza</t>
  </si>
  <si>
    <t>thai_ckn_m</t>
  </si>
  <si>
    <t>Jennifer Allen</t>
  </si>
  <si>
    <t>the_greek_l</t>
  </si>
  <si>
    <t>Amber Scott</t>
  </si>
  <si>
    <t>Justin Johnson</t>
  </si>
  <si>
    <t>ckn_pesto_l</t>
  </si>
  <si>
    <t>Victoria Perez</t>
  </si>
  <si>
    <t>Chicken, Tomatoes, Red Peppers, Spinach, Garlic, Pesto Sauce</t>
  </si>
  <si>
    <t>The Chicken Pesto Pizza</t>
  </si>
  <si>
    <t>Sophia Green</t>
  </si>
  <si>
    <t>Zachary Evans</t>
  </si>
  <si>
    <t>2/13/2015</t>
  </si>
  <si>
    <t>calabrese_l</t>
  </si>
  <si>
    <t>Sarah Green</t>
  </si>
  <si>
    <t>2/14/2015</t>
  </si>
  <si>
    <t>慛duja Salami, Pancetta, Tomatoes, Red Onions, Friggitello Peppers, Garlic</t>
  </si>
  <si>
    <t>The Calabrese Pizza</t>
  </si>
  <si>
    <t>Amber Evans</t>
  </si>
  <si>
    <t>Alexis Perez</t>
  </si>
  <si>
    <t>Sarah Martinez</t>
  </si>
  <si>
    <t>2/15/2015</t>
  </si>
  <si>
    <t>peppr_salami_l</t>
  </si>
  <si>
    <t>Justin Gonzalez</t>
  </si>
  <si>
    <t>2/17/2015</t>
  </si>
  <si>
    <t>sicilian_m</t>
  </si>
  <si>
    <t>Anthony Torres</t>
  </si>
  <si>
    <t>prsc_argla_m</t>
  </si>
  <si>
    <t>Matthew Wright</t>
  </si>
  <si>
    <t>2/18/2015</t>
  </si>
  <si>
    <t>Brandon Carter</t>
  </si>
  <si>
    <t>prsc_argla_l</t>
  </si>
  <si>
    <t>Matthew Thompson</t>
  </si>
  <si>
    <t>Amanda Lopez</t>
  </si>
  <si>
    <t>2/19/2015</t>
  </si>
  <si>
    <t>Robert Lopez</t>
  </si>
  <si>
    <t>southw_ckn_l</t>
  </si>
  <si>
    <t>Elizabeth Allen</t>
  </si>
  <si>
    <t>2/24/2015</t>
  </si>
  <si>
    <t>spin_pesto_s</t>
  </si>
  <si>
    <t>Jessica Roberts</t>
  </si>
  <si>
    <t>Spinach, Artichokes, Tomatoes, Sun-dried Tomatoes, Garlic, Pesto Sauce</t>
  </si>
  <si>
    <t>The Spinach Pesto Pizza</t>
  </si>
  <si>
    <t>Rachel Campbell</t>
  </si>
  <si>
    <t>2/26/2015</t>
  </si>
  <si>
    <t>Samantha Young</t>
  </si>
  <si>
    <t>2/27/2015</t>
  </si>
  <si>
    <t>big_meat_s</t>
  </si>
  <si>
    <t>Stephanie Scott</t>
  </si>
  <si>
    <t>2/28/2015</t>
  </si>
  <si>
    <t>Bacon, Pepperoni, Italian Sausage, Chorizo Sausage</t>
  </si>
  <si>
    <t>The Big Meat Pizza</t>
  </si>
  <si>
    <t>Alexander Williams</t>
  </si>
  <si>
    <t>classic_dlx_s</t>
  </si>
  <si>
    <t>Daniel White</t>
  </si>
  <si>
    <t>Lauren Phillips</t>
  </si>
  <si>
    <t>ital_cpcllo_l</t>
  </si>
  <si>
    <t>Daniel Allen</t>
  </si>
  <si>
    <t>Capocollo, Red Peppers, Tomatoes, Goat Cheese, Garlic, Oregano</t>
  </si>
  <si>
    <t>The Italian Capocollo Pizza</t>
  </si>
  <si>
    <t>napolitana_s</t>
  </si>
  <si>
    <t>Christopher Jackson</t>
  </si>
  <si>
    <t>Tomatoes, Anchovies, Green Olives, Red Onions, Garlic</t>
  </si>
  <si>
    <t>The Napolitana Pizza</t>
  </si>
  <si>
    <t>Anthony White</t>
  </si>
  <si>
    <t>hawaiian_m</t>
  </si>
  <si>
    <t>Amanda Young</t>
  </si>
  <si>
    <t>Alexander Smith</t>
  </si>
  <si>
    <t>Zachary Hernandez</t>
  </si>
  <si>
    <t>spin_pesto_l</t>
  </si>
  <si>
    <t>Alexis White</t>
  </si>
  <si>
    <t>Tyler Adams</t>
  </si>
  <si>
    <t>Brandon Williams</t>
  </si>
  <si>
    <t>green_garden_s</t>
  </si>
  <si>
    <t>Brianna Scott</t>
  </si>
  <si>
    <t>3/13/2015</t>
  </si>
  <si>
    <t>Spinach, Mushrooms, Tomatoes, Green Olives, Feta Cheese</t>
  </si>
  <si>
    <t>The Green Garden Pizza</t>
  </si>
  <si>
    <t>Victoria Thomas</t>
  </si>
  <si>
    <t>Olivia Lee</t>
  </si>
  <si>
    <t>ital_supr_m</t>
  </si>
  <si>
    <t>Hannah Jones</t>
  </si>
  <si>
    <t>3/14/2015</t>
  </si>
  <si>
    <t>spicy_ital_m</t>
  </si>
  <si>
    <t>Andrew Miller</t>
  </si>
  <si>
    <t>3/15/2015</t>
  </si>
  <si>
    <t>Sarah Allen</t>
  </si>
  <si>
    <t>William Allen</t>
  </si>
  <si>
    <t>3/16/2015</t>
  </si>
  <si>
    <t>Lauren Martin</t>
  </si>
  <si>
    <t>ital_veggie_l</t>
  </si>
  <si>
    <t>Linda Hall</t>
  </si>
  <si>
    <t>thai_ckn_s</t>
  </si>
  <si>
    <t>Olivia Brown</t>
  </si>
  <si>
    <t>3/17/2015</t>
  </si>
  <si>
    <t>ital_supr_s</t>
  </si>
  <si>
    <t>Nicholas Walker</t>
  </si>
  <si>
    <t>Nicholas Green</t>
  </si>
  <si>
    <t>3/23/2015</t>
  </si>
  <si>
    <t>veggie_veg_s</t>
  </si>
  <si>
    <t>Ethan Perez</t>
  </si>
  <si>
    <t>3/27/2015</t>
  </si>
  <si>
    <t>Alexis Campbell</t>
  </si>
  <si>
    <t>ckn_pesto_m</t>
  </si>
  <si>
    <t>Emily Wright</t>
  </si>
  <si>
    <t>3/28/2015</t>
  </si>
  <si>
    <t>Linda Hernandez</t>
  </si>
  <si>
    <t>3/29/2015</t>
  </si>
  <si>
    <t>calabrese_m</t>
  </si>
  <si>
    <t>3/30/2015</t>
  </si>
  <si>
    <t>Joseph Allen</t>
  </si>
  <si>
    <t>3/31/2015</t>
  </si>
  <si>
    <t>William Adams</t>
  </si>
  <si>
    <t>Kayla Lewis</t>
  </si>
  <si>
    <t>Tyler Clark</t>
  </si>
  <si>
    <t>Stephanie Clark</t>
  </si>
  <si>
    <t>the_greek_s</t>
  </si>
  <si>
    <t>Michael Anderson</t>
  </si>
  <si>
    <t>veggie_veg_l</t>
  </si>
  <si>
    <t>Ryan Clark</t>
  </si>
  <si>
    <t>Olivia Roberts</t>
  </si>
  <si>
    <t>Matthew Garcia</t>
  </si>
  <si>
    <t>Samantha Smith</t>
  </si>
  <si>
    <t>green_garden_m</t>
  </si>
  <si>
    <t>Victoria Hall</t>
  </si>
  <si>
    <t>Emily Williams</t>
  </si>
  <si>
    <t>John Garcia</t>
  </si>
  <si>
    <t>mexicana_l</t>
  </si>
  <si>
    <t>Robert Perez</t>
  </si>
  <si>
    <t>Joshua Smith</t>
  </si>
  <si>
    <t>Elizabeth Ramirez</t>
  </si>
  <si>
    <t>Emily Nelson</t>
  </si>
  <si>
    <t>Brianna Lee</t>
  </si>
  <si>
    <t>ckn_alfredo_l</t>
  </si>
  <si>
    <t>Brandon Harris</t>
  </si>
  <si>
    <t>4/13/2015</t>
  </si>
  <si>
    <t>Christopher Turner</t>
  </si>
  <si>
    <t>4/14/2015</t>
  </si>
  <si>
    <t>Justin Campbell</t>
  </si>
  <si>
    <t>bbq_ckn_m</t>
  </si>
  <si>
    <t>Dylan Carter</t>
  </si>
  <si>
    <t>4/16/2015</t>
  </si>
  <si>
    <t>John Campbell</t>
  </si>
  <si>
    <t>Daniel Scott</t>
  </si>
  <si>
    <t>Lauren Brown</t>
  </si>
  <si>
    <t>4/17/2015</t>
  </si>
  <si>
    <t>Kayla Phillips</t>
  </si>
  <si>
    <t>ital_cpcllo_m</t>
  </si>
  <si>
    <t>Hannah Miller</t>
  </si>
  <si>
    <t>cali_ckn_m</t>
  </si>
  <si>
    <t>Emily Brown</t>
  </si>
  <si>
    <t>4/19/2015</t>
  </si>
  <si>
    <t>Elizabeth Roberts</t>
  </si>
  <si>
    <t>4/21/2015</t>
  </si>
  <si>
    <t>Madison Evans</t>
  </si>
  <si>
    <t>4/23/2015</t>
  </si>
  <si>
    <t>Noah Scott</t>
  </si>
  <si>
    <t>John Hill</t>
  </si>
  <si>
    <t>4/24/2015</t>
  </si>
  <si>
    <t>Michael Collins</t>
  </si>
  <si>
    <t>James Wright</t>
  </si>
  <si>
    <t>4/26/2015</t>
  </si>
  <si>
    <t>spinach_fet_s</t>
  </si>
  <si>
    <t>Joseph Jones</t>
  </si>
  <si>
    <t>4/29/2015</t>
  </si>
  <si>
    <t>Spinach, Mushrooms, Red Onions, Feta Cheese, Garlic</t>
  </si>
  <si>
    <t>The Spinach and Feta Pizza</t>
  </si>
  <si>
    <t>Brianna Lopez</t>
  </si>
  <si>
    <t>Emily Young</t>
  </si>
  <si>
    <t>pepperoni_m</t>
  </si>
  <si>
    <t>Christopher Martinez</t>
  </si>
  <si>
    <t>Sophia Perez</t>
  </si>
  <si>
    <t>Anthony Nelson</t>
  </si>
  <si>
    <t>Courtney Baker</t>
  </si>
  <si>
    <t>Jacob Gonzalez</t>
  </si>
  <si>
    <t>napolitana_m</t>
  </si>
  <si>
    <t>Ryan Phillips</t>
  </si>
  <si>
    <t>Sophia Sanchez</t>
  </si>
  <si>
    <t>Ryan Miller</t>
  </si>
  <si>
    <t>Noah Lee</t>
  </si>
  <si>
    <t>Sarah Thompson</t>
  </si>
  <si>
    <t>mediterraneo_s</t>
  </si>
  <si>
    <t>Olivia King</t>
  </si>
  <si>
    <t>William Ramirez</t>
  </si>
  <si>
    <t>Joseph Lee</t>
  </si>
  <si>
    <t>Ethan Williams</t>
  </si>
  <si>
    <t>Andrew Jackson</t>
  </si>
  <si>
    <t>Brittany King</t>
  </si>
  <si>
    <t>Rachel Hill</t>
  </si>
  <si>
    <t>Amanda Green</t>
  </si>
  <si>
    <t>Rachel Johnson</t>
  </si>
  <si>
    <t>cali_ckn_s</t>
  </si>
  <si>
    <t>Victoria Roberts</t>
  </si>
  <si>
    <t>5/14/2015</t>
  </si>
  <si>
    <t>Justin Nelson</t>
  </si>
  <si>
    <t>Ashley Nelson</t>
  </si>
  <si>
    <t>soppressata_m</t>
  </si>
  <si>
    <t>5/15/2015</t>
  </si>
  <si>
    <t>Joseph Evans</t>
  </si>
  <si>
    <t>mediterraneo_m</t>
  </si>
  <si>
    <t>Hannah Phillips</t>
  </si>
  <si>
    <t>Dylan Robinson</t>
  </si>
  <si>
    <t>Lauren King</t>
  </si>
  <si>
    <t>5/17/2015</t>
  </si>
  <si>
    <t>James Sanchez</t>
  </si>
  <si>
    <t>5/18/2015</t>
  </si>
  <si>
    <t>Megan Thomas</t>
  </si>
  <si>
    <t>5/19/2015</t>
  </si>
  <si>
    <t>Rachel Evans</t>
  </si>
  <si>
    <t>5/20/2015</t>
  </si>
  <si>
    <t>Alexis Davis</t>
  </si>
  <si>
    <t>5/21/2015</t>
  </si>
  <si>
    <t>Joseph Garcia</t>
  </si>
  <si>
    <t>spinach_fet_l</t>
  </si>
  <si>
    <t>5/22/2015</t>
  </si>
  <si>
    <t>James Roberts</t>
  </si>
  <si>
    <t>5/25/2015</t>
  </si>
  <si>
    <t>Ryan Thomas</t>
  </si>
  <si>
    <t>Alexis Harris</t>
  </si>
  <si>
    <t>5/26/2015</t>
  </si>
  <si>
    <t>Taylor Gonzalez</t>
  </si>
  <si>
    <t>Megan Robinson</t>
  </si>
  <si>
    <t>5/27/2015</t>
  </si>
  <si>
    <t>Nicholas Roberts</t>
  </si>
  <si>
    <t>Jessica White</t>
  </si>
  <si>
    <t>Stephanie Lee</t>
  </si>
  <si>
    <t>5/29/2015</t>
  </si>
  <si>
    <t>Ryan Hill</t>
  </si>
  <si>
    <t>Ashley Wright</t>
  </si>
  <si>
    <t>5/31/2015</t>
  </si>
  <si>
    <t>Brittany Wright</t>
  </si>
  <si>
    <t>Jennifer Harris</t>
  </si>
  <si>
    <t>Madison Hill</t>
  </si>
  <si>
    <t>spin_pesto_m</t>
  </si>
  <si>
    <t>Elizabeth Collins</t>
  </si>
  <si>
    <t>Noah Ramirez</t>
  </si>
  <si>
    <t>Megan Mitchell</t>
  </si>
  <si>
    <t>Logan Moore</t>
  </si>
  <si>
    <t>spinach_supr_l</t>
  </si>
  <si>
    <t>Emily Harris</t>
  </si>
  <si>
    <t>Spinach, Red Onions, Pepperoni, Tomatoes, Artichokes, Kalamata Olives, Garlic, Asiago Cheese</t>
  </si>
  <si>
    <t>The Spinach Supreme Pizza</t>
  </si>
  <si>
    <t>Sarah Anderson</t>
  </si>
  <si>
    <t>Joshua Moore</t>
  </si>
  <si>
    <t>Brianna Thomas</t>
  </si>
  <si>
    <t>Brianna Evans</t>
  </si>
  <si>
    <t>Tyler Young</t>
  </si>
  <si>
    <t>Stephanie Johnson</t>
  </si>
  <si>
    <t>Daniel Lewis</t>
  </si>
  <si>
    <t>Elizabeth Parker</t>
  </si>
  <si>
    <t>Dylan Parker</t>
  </si>
  <si>
    <t>Ethan Anderson</t>
  </si>
  <si>
    <t>Anthony Jones</t>
  </si>
  <si>
    <t>6/13/2015</t>
  </si>
  <si>
    <t>Joseph Smith</t>
  </si>
  <si>
    <t>Tyler Martin</t>
  </si>
  <si>
    <t>6/14/2015</t>
  </si>
  <si>
    <t>Joseph Baker</t>
  </si>
  <si>
    <t>John Miller</t>
  </si>
  <si>
    <t>Anthony Campbell</t>
  </si>
  <si>
    <t>6/15/2015</t>
  </si>
  <si>
    <t>Noah Adams</t>
  </si>
  <si>
    <t>Madison Allen</t>
  </si>
  <si>
    <t>6/16/2015</t>
  </si>
  <si>
    <t>Sarah Johnson</t>
  </si>
  <si>
    <t>Olivia Thompson</t>
  </si>
  <si>
    <t>Ethan White</t>
  </si>
  <si>
    <t>6/17/2015</t>
  </si>
  <si>
    <t>Noah Hall</t>
  </si>
  <si>
    <t>6/18/2015</t>
  </si>
  <si>
    <t>Dylan Baker</t>
  </si>
  <si>
    <t>6/20/2015</t>
  </si>
  <si>
    <t>Tyler Baker</t>
  </si>
  <si>
    <t>6/21/2015</t>
  </si>
  <si>
    <t>Andrew Lee</t>
  </si>
  <si>
    <t>Stephanie Roberts</t>
  </si>
  <si>
    <t>Nicholas Brown</t>
  </si>
  <si>
    <t>6/23/2015</t>
  </si>
  <si>
    <t>Robert Robinson</t>
  </si>
  <si>
    <t>Madison Johnson</t>
  </si>
  <si>
    <t>Alexander Torres</t>
  </si>
  <si>
    <t>6/24/2015</t>
  </si>
  <si>
    <t>Megan Carter</t>
  </si>
  <si>
    <t>Justin Jones</t>
  </si>
  <si>
    <t>Brittany Walker</t>
  </si>
  <si>
    <t>Ethan Campbell</t>
  </si>
  <si>
    <t>6/25/2015</t>
  </si>
  <si>
    <t>Jennifer White</t>
  </si>
  <si>
    <t>Samantha Allen</t>
  </si>
  <si>
    <t>pep_msh_pep_m</t>
  </si>
  <si>
    <t>Olivia Ramirez</t>
  </si>
  <si>
    <t>6/27/2015</t>
  </si>
  <si>
    <t>Pepperoni, Mushrooms, Green Peppers</t>
  </si>
  <si>
    <t>The Pepperoni, Mushroom, and Peppers Pizza</t>
  </si>
  <si>
    <t>Jacob Hernandez</t>
  </si>
  <si>
    <t>Hannah Gonzalez</t>
  </si>
  <si>
    <t>Rachel Perez</t>
  </si>
  <si>
    <t>6/28/2015</t>
  </si>
  <si>
    <t>Brandon Parker</t>
  </si>
  <si>
    <t>6/29/2015</t>
  </si>
  <si>
    <t>Michael Baker</t>
  </si>
  <si>
    <t>Ethan Baker</t>
  </si>
  <si>
    <t>Courtney Johnson</t>
  </si>
  <si>
    <t>6/30/2015</t>
  </si>
  <si>
    <t>Jacob Garcia</t>
  </si>
  <si>
    <t>Megan Williams</t>
  </si>
  <si>
    <t>Daniel Parker</t>
  </si>
  <si>
    <t>Andrew Mitchell</t>
  </si>
  <si>
    <t>calabrese_s</t>
  </si>
  <si>
    <t>Tyler Scott</t>
  </si>
  <si>
    <t>Lauren Torres</t>
  </si>
  <si>
    <t>Alexis Nelson</t>
  </si>
  <si>
    <t>William Nelson</t>
  </si>
  <si>
    <t>Linda White</t>
  </si>
  <si>
    <t>Sophia Taylor</t>
  </si>
  <si>
    <t>Emily Green</t>
  </si>
  <si>
    <t>David Miller</t>
  </si>
  <si>
    <t>Taylor Thomas</t>
  </si>
  <si>
    <t>Ethan Parker</t>
  </si>
  <si>
    <t>Daniel Thomas</t>
  </si>
  <si>
    <t>Brianna Adams</t>
  </si>
  <si>
    <t>Stephanie Nelson</t>
  </si>
  <si>
    <t>7/14/2015</t>
  </si>
  <si>
    <t>Samantha Ramirez</t>
  </si>
  <si>
    <t>7/15/2015</t>
  </si>
  <si>
    <t>Tyler Mitchell</t>
  </si>
  <si>
    <t>7/16/2015</t>
  </si>
  <si>
    <t>Daniel Hill</t>
  </si>
  <si>
    <t>Hannah Roberts</t>
  </si>
  <si>
    <t>7/17/2015</t>
  </si>
  <si>
    <t>Joshua Evans</t>
  </si>
  <si>
    <t>Taylor Allen</t>
  </si>
  <si>
    <t>7/18/2015</t>
  </si>
  <si>
    <t>Ashley Parker</t>
  </si>
  <si>
    <t>7/19/2015</t>
  </si>
  <si>
    <t>Matthew Phillips</t>
  </si>
  <si>
    <t>Jacob Adams</t>
  </si>
  <si>
    <t>Amber Carter</t>
  </si>
  <si>
    <t>7/20/2015</t>
  </si>
  <si>
    <t>classic_dlx_l</t>
  </si>
  <si>
    <t>Courtney Walker</t>
  </si>
  <si>
    <t>four_cheese_m</t>
  </si>
  <si>
    <t>Madison Carter</t>
  </si>
  <si>
    <t>Zachary Moore</t>
  </si>
  <si>
    <t>Logan Green</t>
  </si>
  <si>
    <t>pep_msh_pep_s</t>
  </si>
  <si>
    <t>John Johnson</t>
  </si>
  <si>
    <t>7/21/2015</t>
  </si>
  <si>
    <t>Samantha Davis</t>
  </si>
  <si>
    <t>7/22/2015</t>
  </si>
  <si>
    <t>Brittany Thomas</t>
  </si>
  <si>
    <t>Amanda Lewis</t>
  </si>
  <si>
    <t>David Adams</t>
  </si>
  <si>
    <t>7/23/2015</t>
  </si>
  <si>
    <t>Dylan Miller</t>
  </si>
  <si>
    <t>Brandon Young</t>
  </si>
  <si>
    <t>7/24/2015</t>
  </si>
  <si>
    <t>7/25/2015</t>
  </si>
  <si>
    <t>Sarah King</t>
  </si>
  <si>
    <t>Olivia Hill</t>
  </si>
  <si>
    <t>7/26/2015</t>
  </si>
  <si>
    <t>Brandon Hernandez</t>
  </si>
  <si>
    <t>7/27/2015</t>
  </si>
  <si>
    <t>Brianna Nelson</t>
  </si>
  <si>
    <t>7/29/2015</t>
  </si>
  <si>
    <t>Lauren Roberts</t>
  </si>
  <si>
    <t>7/30/2015</t>
  </si>
  <si>
    <t>Anthony Robinson</t>
  </si>
  <si>
    <t>7/31/2015</t>
  </si>
  <si>
    <t>Justin King</t>
  </si>
  <si>
    <t>napolitana_l</t>
  </si>
  <si>
    <t>William Gonzalez</t>
  </si>
  <si>
    <t>Christopher Phillips</t>
  </si>
  <si>
    <t>Logan Phillips</t>
  </si>
  <si>
    <t>Robert Miller</t>
  </si>
  <si>
    <t>Emily Thompson</t>
  </si>
  <si>
    <t>Brandon Brown</t>
  </si>
  <si>
    <t>Jacob Brown</t>
  </si>
  <si>
    <t>William King</t>
  </si>
  <si>
    <t>Amber Williams</t>
  </si>
  <si>
    <t>Samantha Carter</t>
  </si>
  <si>
    <t>Kayla Lopez</t>
  </si>
  <si>
    <t>Rachel Harris</t>
  </si>
  <si>
    <t>ital_cpcllo_s</t>
  </si>
  <si>
    <t>Emily Adams</t>
  </si>
  <si>
    <t>Michael Young</t>
  </si>
  <si>
    <t>Lauren Collins</t>
  </si>
  <si>
    <t>Sarah Nelson</t>
  </si>
  <si>
    <t>Megan Allen</t>
  </si>
  <si>
    <t>Samantha King</t>
  </si>
  <si>
    <t>Noah Hill</t>
  </si>
  <si>
    <t>8/13/2015</t>
  </si>
  <si>
    <t>Sophia Baker</t>
  </si>
  <si>
    <t>8/14/2015</t>
  </si>
  <si>
    <t>Elizabeth Walker</t>
  </si>
  <si>
    <t>Kayla Perez</t>
  </si>
  <si>
    <t>8/15/2015</t>
  </si>
  <si>
    <t>Jennifer Miller</t>
  </si>
  <si>
    <t>8/16/2015</t>
  </si>
  <si>
    <t>Jacob Clark</t>
  </si>
  <si>
    <t>Hannah Williams</t>
  </si>
  <si>
    <t>8/17/2015</t>
  </si>
  <si>
    <t>Alexander Collins</t>
  </si>
  <si>
    <t>Matthew Robinson</t>
  </si>
  <si>
    <t>Joshua Young</t>
  </si>
  <si>
    <t>Brittany Miller</t>
  </si>
  <si>
    <t>8/20/2015</t>
  </si>
  <si>
    <t>Zachary Perez</t>
  </si>
  <si>
    <t>8/21/2015</t>
  </si>
  <si>
    <t>Ashley Martinez</t>
  </si>
  <si>
    <t>Kayla Lee</t>
  </si>
  <si>
    <t>8/22/2015</t>
  </si>
  <si>
    <t>Alexander Miller</t>
  </si>
  <si>
    <t>Amber Harris</t>
  </si>
  <si>
    <t>Joshua Wright</t>
  </si>
  <si>
    <t>8/23/2015</t>
  </si>
  <si>
    <t>Matthew Moore</t>
  </si>
  <si>
    <t>Samantha Roberts</t>
  </si>
  <si>
    <t>8/25/2015</t>
  </si>
  <si>
    <t>Ethan Martinez</t>
  </si>
  <si>
    <t>Stephanie Allen</t>
  </si>
  <si>
    <t>8/27/2015</t>
  </si>
  <si>
    <t>Ethan Martin</t>
  </si>
  <si>
    <t>8/28/2015</t>
  </si>
  <si>
    <t>Stephanie Thomas</t>
  </si>
  <si>
    <t>Zachary Lewis</t>
  </si>
  <si>
    <t>8/30/2015</t>
  </si>
  <si>
    <t>Madison Gonzalez</t>
  </si>
  <si>
    <t>spinach_supr_s</t>
  </si>
  <si>
    <t>Kayla King</t>
  </si>
  <si>
    <t>Justin Lee</t>
  </si>
  <si>
    <t>Ethan Jones</t>
  </si>
  <si>
    <t>8/31/2015</t>
  </si>
  <si>
    <t>Brianna Brown</t>
  </si>
  <si>
    <t>ital_veggie_s</t>
  </si>
  <si>
    <t>Courtney Perez</t>
  </si>
  <si>
    <t>Zachary Jones</t>
  </si>
  <si>
    <t>Kayla Martinez</t>
  </si>
  <si>
    <t>spinach_fet_m</t>
  </si>
  <si>
    <t>Amber Young</t>
  </si>
  <si>
    <t>Stephanie Martinez</t>
  </si>
  <si>
    <t>William Lee</t>
  </si>
  <si>
    <t>Samantha Harris</t>
  </si>
  <si>
    <t>Taylor Green</t>
  </si>
  <si>
    <t>Elizabeth Brown</t>
  </si>
  <si>
    <t>Elizabeth Mitchell</t>
  </si>
  <si>
    <t>Sophia Smith</t>
  </si>
  <si>
    <t>Logan Young</t>
  </si>
  <si>
    <t>John Jones</t>
  </si>
  <si>
    <t>Anthony Davis</t>
  </si>
  <si>
    <t>Joseph Martinez</t>
  </si>
  <si>
    <t>Matthew Turner</t>
  </si>
  <si>
    <t>James Robinson</t>
  </si>
  <si>
    <t>Brittany Lewis</t>
  </si>
  <si>
    <t>Ryan Williams</t>
  </si>
  <si>
    <t>Andrew Adams</t>
  </si>
  <si>
    <t>ckn_pesto_s</t>
  </si>
  <si>
    <t>Tyler Davis</t>
  </si>
  <si>
    <t>9/13/2015</t>
  </si>
  <si>
    <t>Anthony Martinez</t>
  </si>
  <si>
    <t>Dylan Thomas</t>
  </si>
  <si>
    <t>9/15/2015</t>
  </si>
  <si>
    <t>Lauren White</t>
  </si>
  <si>
    <t>Victoria Smith</t>
  </si>
  <si>
    <t>9/16/2015</t>
  </si>
  <si>
    <t>Elizabeth Evans</t>
  </si>
  <si>
    <t>Jennifer Martin</t>
  </si>
  <si>
    <t>9/17/2015</t>
  </si>
  <si>
    <t>Elizabeth Scott</t>
  </si>
  <si>
    <t>9/18/2015</t>
  </si>
  <si>
    <t>Jacob Turner</t>
  </si>
  <si>
    <t>Alexis Gonzalez</t>
  </si>
  <si>
    <t>9/19/2015</t>
  </si>
  <si>
    <t>Samantha Walker</t>
  </si>
  <si>
    <t>Brandon Smith</t>
  </si>
  <si>
    <t>Robert Williams</t>
  </si>
  <si>
    <t>9/21/2015</t>
  </si>
  <si>
    <t>9/26/2015</t>
  </si>
  <si>
    <t>Courtney Wright</t>
  </si>
  <si>
    <t>Madison Thompson</t>
  </si>
  <si>
    <t>9/27/2015</t>
  </si>
  <si>
    <t>Tyler Hernandez</t>
  </si>
  <si>
    <t>Jennifer Baker</t>
  </si>
  <si>
    <t>9/28/2015</t>
  </si>
  <si>
    <t>David Parker</t>
  </si>
  <si>
    <t>9/29/2015</t>
  </si>
  <si>
    <t>Jessica Walker</t>
  </si>
  <si>
    <t>Victoria Parker</t>
  </si>
  <si>
    <t>Brianna Miller</t>
  </si>
  <si>
    <t>Amanda Carter</t>
  </si>
  <si>
    <t>9/30/2015</t>
  </si>
  <si>
    <t>Joseph Perez</t>
  </si>
  <si>
    <t>Christopher Johnson</t>
  </si>
  <si>
    <t>Brianna Sanchez</t>
  </si>
  <si>
    <t>Noah Gonzalez</t>
  </si>
  <si>
    <t>Courtney Hall</t>
  </si>
  <si>
    <t>James White</t>
  </si>
  <si>
    <t>Brianna Williams</t>
  </si>
  <si>
    <t>Stephanie King</t>
  </si>
  <si>
    <t>John Sanchez</t>
  </si>
  <si>
    <t>Nicholas Hernandez</t>
  </si>
  <si>
    <t>Joseph Taylor</t>
  </si>
  <si>
    <t>Noah Sanchez</t>
  </si>
  <si>
    <t>Robert Baker</t>
  </si>
  <si>
    <t>Robert Davis</t>
  </si>
  <si>
    <t>Joshua Lewis</t>
  </si>
  <si>
    <t>John Walker</t>
  </si>
  <si>
    <t>Zachary Baker</t>
  </si>
  <si>
    <t>10/13/2015</t>
  </si>
  <si>
    <t>Michael Williams</t>
  </si>
  <si>
    <t>Rachel Miller</t>
  </si>
  <si>
    <t>10/14/2015</t>
  </si>
  <si>
    <t>Brandon Lee</t>
  </si>
  <si>
    <t>Zachary Ramirez</t>
  </si>
  <si>
    <t>10/15/2015</t>
  </si>
  <si>
    <t>Brandon Evans</t>
  </si>
  <si>
    <t>Jennifer Green</t>
  </si>
  <si>
    <t>Sarah Wright</t>
  </si>
  <si>
    <t>10/16/2015</t>
  </si>
  <si>
    <t>William Perez</t>
  </si>
  <si>
    <t>10/17/2015</t>
  </si>
  <si>
    <t>Christopher Roberts</t>
  </si>
  <si>
    <t>10/18/2015</t>
  </si>
  <si>
    <t>Madison Mitchell</t>
  </si>
  <si>
    <t>10/20/2015</t>
  </si>
  <si>
    <t>Tyler Jackson</t>
  </si>
  <si>
    <t>10/21/2015</t>
  </si>
  <si>
    <t>James Phillips</t>
  </si>
  <si>
    <t>10/22/2015</t>
  </si>
  <si>
    <t>Madison Moore</t>
  </si>
  <si>
    <t>Daniel Moore</t>
  </si>
  <si>
    <t>10/23/2015</t>
  </si>
  <si>
    <t>Alexis King</t>
  </si>
  <si>
    <t>Daniel Ramirez</t>
  </si>
  <si>
    <t>10/24/2015</t>
  </si>
  <si>
    <t>Nicholas Thompson</t>
  </si>
  <si>
    <t>Amber Lee</t>
  </si>
  <si>
    <t>10/25/2015</t>
  </si>
  <si>
    <t>Samantha Williams</t>
  </si>
  <si>
    <t>10/27/2015</t>
  </si>
  <si>
    <t>Amanda Phillips</t>
  </si>
  <si>
    <t>10/28/2015</t>
  </si>
  <si>
    <t>Joshua Hill</t>
  </si>
  <si>
    <t>10/29/2015</t>
  </si>
  <si>
    <t>Brandon Collins</t>
  </si>
  <si>
    <t>10/30/2015</t>
  </si>
  <si>
    <t>pep_msh_pep_l</t>
  </si>
  <si>
    <t>Madison Lee</t>
  </si>
  <si>
    <t>John Evans</t>
  </si>
  <si>
    <t>Michael Thomas</t>
  </si>
  <si>
    <t>Emily Phillips</t>
  </si>
  <si>
    <t>Samantha Baker</t>
  </si>
  <si>
    <t>ckn_alfredo_s</t>
  </si>
  <si>
    <t>Noah Nelson</t>
  </si>
  <si>
    <t>Robert Hernandez</t>
  </si>
  <si>
    <t>Nicholas Jones</t>
  </si>
  <si>
    <t>Madison Hernandez</t>
  </si>
  <si>
    <t>James Jones</t>
  </si>
  <si>
    <t>Rachel Roberts</t>
  </si>
  <si>
    <t>Robert Hill</t>
  </si>
  <si>
    <t>Brittany Baker</t>
  </si>
  <si>
    <t>Jacob Smith</t>
  </si>
  <si>
    <t>Emily Taylor</t>
  </si>
  <si>
    <t>spinach_supr_m</t>
  </si>
  <si>
    <t>Ashley Clark</t>
  </si>
  <si>
    <t>11/13/2015</t>
  </si>
  <si>
    <t>Courtney Williams</t>
  </si>
  <si>
    <t>11/14/2015</t>
  </si>
  <si>
    <t>Sophia Jones</t>
  </si>
  <si>
    <t>11/15/2015</t>
  </si>
  <si>
    <t>Alexis Evans</t>
  </si>
  <si>
    <t>11/16/2015</t>
  </si>
  <si>
    <t>David Gonzalez</t>
  </si>
  <si>
    <t>11/18/2015</t>
  </si>
  <si>
    <t>southw_ckn_m</t>
  </si>
  <si>
    <t>Samantha Jackson</t>
  </si>
  <si>
    <t>11/19/2015</t>
  </si>
  <si>
    <t>brie_carre_s</t>
  </si>
  <si>
    <t>Brianna Young</t>
  </si>
  <si>
    <t>11/20/2015</t>
  </si>
  <si>
    <t>Brie Carre Cheese, Prosciutto, Caramelized Onions, Pears, Thyme, Garlic</t>
  </si>
  <si>
    <t>The Brie Carre Pizza</t>
  </si>
  <si>
    <t>Alexis Torres</t>
  </si>
  <si>
    <t>Tyler Brown</t>
  </si>
  <si>
    <t>11/21/2015</t>
  </si>
  <si>
    <t>11/22/2015</t>
  </si>
  <si>
    <t>Sarah Jones</t>
  </si>
  <si>
    <t>11/26/2015</t>
  </si>
  <si>
    <t>Courtney Moore</t>
  </si>
  <si>
    <t>Andrew Hernandez</t>
  </si>
  <si>
    <t>Joshua Thompson</t>
  </si>
  <si>
    <t>11/27/2015</t>
  </si>
  <si>
    <t>Logan Smith</t>
  </si>
  <si>
    <t>Lauren Robinson</t>
  </si>
  <si>
    <t>Alexis Hill</t>
  </si>
  <si>
    <t>11/29/2015</t>
  </si>
  <si>
    <t>Jennifer Taylor</t>
  </si>
  <si>
    <t>11/30/2015</t>
  </si>
  <si>
    <t>Victoria Martinez</t>
  </si>
  <si>
    <t>William Johnson</t>
  </si>
  <si>
    <t>Tyler Wright</t>
  </si>
  <si>
    <t>Rachel Torres</t>
  </si>
  <si>
    <t>Brianna Turner</t>
  </si>
  <si>
    <t>Andrew King</t>
  </si>
  <si>
    <t>Matthew King</t>
  </si>
  <si>
    <t>Daniel Phillips</t>
  </si>
  <si>
    <t>Andrew Moore</t>
  </si>
  <si>
    <t>Jessica King</t>
  </si>
  <si>
    <t>Sarah Clark</t>
  </si>
  <si>
    <t>Brandon Allen</t>
  </si>
  <si>
    <t>Sophia Moore</t>
  </si>
  <si>
    <t>Elizabeth Hill</t>
  </si>
  <si>
    <t>Matthew Ramirez</t>
  </si>
  <si>
    <t>Michael Johnson</t>
  </si>
  <si>
    <t>Olivia Martinez</t>
  </si>
  <si>
    <t>12/13/2015</t>
  </si>
  <si>
    <t>Joshua Phillips</t>
  </si>
  <si>
    <t>Linda Parker</t>
  </si>
  <si>
    <t>12/14/2015</t>
  </si>
  <si>
    <t>Tyler Robinson</t>
  </si>
  <si>
    <t>Joseph Collins</t>
  </si>
  <si>
    <t>12/15/2015</t>
  </si>
  <si>
    <t>Kayla Jackson</t>
  </si>
  <si>
    <t>12/16/2015</t>
  </si>
  <si>
    <t>William Williams</t>
  </si>
  <si>
    <t>David Williams</t>
  </si>
  <si>
    <t>12/17/2015</t>
  </si>
  <si>
    <t>Emily Jones</t>
  </si>
  <si>
    <t>12/18/2015</t>
  </si>
  <si>
    <t>Jessica Lee</t>
  </si>
  <si>
    <t>Nicholas Moore</t>
  </si>
  <si>
    <t>Amanda Thompson</t>
  </si>
  <si>
    <t>12/19/2015</t>
  </si>
  <si>
    <t>Zachary Lee</t>
  </si>
  <si>
    <t>Ashley Roberts</t>
  </si>
  <si>
    <t>12/20/2015</t>
  </si>
  <si>
    <t>Jennifer Lee</t>
  </si>
  <si>
    <t>12/21/2015</t>
  </si>
  <si>
    <t>Taylor Hernandez</t>
  </si>
  <si>
    <t>Elizabeth Gonzalez</t>
  </si>
  <si>
    <t>Logan Baker</t>
  </si>
  <si>
    <t>Linda Martinez</t>
  </si>
  <si>
    <t>12/22/2015</t>
  </si>
  <si>
    <t>Rachel White</t>
  </si>
  <si>
    <t>12/23/2015</t>
  </si>
  <si>
    <t>Robert Evans</t>
  </si>
  <si>
    <t>12/28/2015</t>
  </si>
  <si>
    <t>Kayla Evans</t>
  </si>
  <si>
    <t>Ethan Robinson</t>
  </si>
  <si>
    <t>Courtney Young</t>
  </si>
  <si>
    <t>Row Labels</t>
  </si>
  <si>
    <t>Grand Total</t>
  </si>
  <si>
    <t>Count of order_id (رقم الطلب)</t>
  </si>
  <si>
    <t>Pizza sales Dashbord</t>
  </si>
  <si>
    <t>Totale Sales</t>
  </si>
  <si>
    <t>Sum of Sales</t>
  </si>
  <si>
    <t>Tatal Quantity</t>
  </si>
  <si>
    <t>Sum of quantity (الكمية)</t>
  </si>
  <si>
    <t>Tatal ordes</t>
  </si>
  <si>
    <t>11 AM</t>
  </si>
  <si>
    <t>12 PM</t>
  </si>
  <si>
    <t>1 PM</t>
  </si>
  <si>
    <t>2 PM</t>
  </si>
  <si>
    <t>3 PM</t>
  </si>
  <si>
    <t>4 PM</t>
  </si>
  <si>
    <t>5 PM</t>
  </si>
  <si>
    <t>6 PM</t>
  </si>
  <si>
    <t>7 PM</t>
  </si>
  <si>
    <t>8 PM</t>
  </si>
  <si>
    <t>9 PM</t>
  </si>
  <si>
    <t>10 PM</t>
  </si>
  <si>
    <t>11 PM</t>
  </si>
  <si>
    <t>Sum of unit_price (سعر الوحدة)</t>
  </si>
  <si>
    <t>Total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</si>
</sst>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6" formatCode="_(&quot;$&quot;* #,##0_);_(&quot;$&quot;* \(#,##0\);_(&quot;$&quot;* &quot;-&quot;??_);_(@_)"/>
  </numFmts>
  <fonts count="11" x14ac:knownFonts="1">
    <font>
      <sz val="11"/>
      <color theme="1"/>
      <name val="Calibri"/>
      <family val="2"/>
      <scheme val="minor"/>
    </font>
    <font>
      <b/>
      <sz val="12"/>
      <color rgb="FFFFFFFF"/>
      <name val="Calibri"/>
      <family val="2"/>
      <scheme val="minor"/>
    </font>
    <font>
      <sz val="11"/>
      <color theme="1"/>
      <name val="Calibri"/>
      <family val="2"/>
      <scheme val="minor"/>
    </font>
    <font>
      <sz val="11"/>
      <color theme="0"/>
      <name val="Calibri"/>
      <family val="2"/>
      <scheme val="minor"/>
    </font>
    <font>
      <sz val="28"/>
      <color theme="0"/>
      <name val="Algerian"/>
      <family val="5"/>
    </font>
    <font>
      <sz val="14"/>
      <color theme="0"/>
      <name val="Calibri"/>
      <family val="2"/>
      <scheme val="minor"/>
    </font>
    <font>
      <b/>
      <sz val="24"/>
      <color theme="0"/>
      <name val="Agency FB"/>
      <family val="2"/>
    </font>
    <font>
      <b/>
      <sz val="22"/>
      <color theme="0"/>
      <name val="Calibri"/>
      <family val="2"/>
      <scheme val="minor"/>
    </font>
    <font>
      <b/>
      <sz val="24"/>
      <color theme="0"/>
      <name val="Calibri"/>
      <family val="2"/>
      <scheme val="minor"/>
    </font>
    <font>
      <b/>
      <sz val="26"/>
      <color theme="0"/>
      <name val="Calibri"/>
      <family val="2"/>
      <scheme val="minor"/>
    </font>
    <font>
      <b/>
      <sz val="16"/>
      <color theme="1"/>
      <name val="Algerian"/>
      <family val="5"/>
    </font>
  </fonts>
  <fills count="7">
    <fill>
      <patternFill patternType="none"/>
    </fill>
    <fill>
      <patternFill patternType="gray125"/>
    </fill>
    <fill>
      <patternFill patternType="solid">
        <fgColor rgb="FF4472C4"/>
        <bgColor indexed="64"/>
      </patternFill>
    </fill>
    <fill>
      <patternFill patternType="solid">
        <fgColor rgb="FFD9E2F3"/>
        <bgColor indexed="64"/>
      </patternFill>
    </fill>
    <fill>
      <patternFill patternType="solid">
        <fgColor rgb="FFFFFFFF"/>
        <bgColor indexed="64"/>
      </patternFill>
    </fill>
    <fill>
      <patternFill patternType="solid">
        <fgColor theme="1" tint="0.34998626667073579"/>
        <bgColor indexed="64"/>
      </patternFill>
    </fill>
    <fill>
      <patternFill patternType="solid">
        <fgColor theme="1" tint="0.14999847407452621"/>
        <bgColor indexed="64"/>
      </patternFill>
    </fill>
  </fills>
  <borders count="9">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D9D9D9"/>
      </right>
      <top style="medium">
        <color rgb="FFCCCCCC"/>
      </top>
      <bottom style="medium">
        <color rgb="FFD9D9D9"/>
      </bottom>
      <diagonal/>
    </border>
    <border>
      <left style="medium">
        <color rgb="FFCCCCCC"/>
      </left>
      <right style="medium">
        <color rgb="FFD9D9D9"/>
      </right>
      <top style="medium">
        <color rgb="FFCCCCCC"/>
      </top>
      <bottom style="medium">
        <color rgb="FFD9D9D9"/>
      </bottom>
      <diagonal/>
    </border>
    <border>
      <left style="medium">
        <color rgb="FFCCCCCC"/>
      </left>
      <right style="medium">
        <color rgb="FF000000"/>
      </right>
      <top style="medium">
        <color rgb="FFCCCCCC"/>
      </top>
      <bottom style="medium">
        <color rgb="FFD9D9D9"/>
      </bottom>
      <diagonal/>
    </border>
    <border>
      <left style="medium">
        <color rgb="FF000000"/>
      </left>
      <right style="medium">
        <color rgb="FFD9D9D9"/>
      </right>
      <top style="medium">
        <color rgb="FFCCCCCC"/>
      </top>
      <bottom style="medium">
        <color rgb="FF000000"/>
      </bottom>
      <diagonal/>
    </border>
    <border>
      <left style="medium">
        <color rgb="FFCCCCCC"/>
      </left>
      <right style="medium">
        <color rgb="FFD9D9D9"/>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2">
    <xf numFmtId="0" fontId="0" fillId="0" borderId="0"/>
    <xf numFmtId="44" fontId="2" fillId="0" borderId="0" applyFont="0" applyFill="0" applyBorder="0" applyAlignment="0" applyProtection="0"/>
  </cellStyleXfs>
  <cellXfs count="33">
    <xf numFmtId="0" fontId="0" fillId="0" borderId="0" xfId="0"/>
    <xf numFmtId="0" fontId="1" fillId="2" borderId="1" xfId="0" applyFont="1" applyFill="1" applyBorder="1" applyAlignment="1">
      <alignment vertical="center" wrapText="1"/>
    </xf>
    <xf numFmtId="0" fontId="1" fillId="2" borderId="2" xfId="0" applyFont="1" applyFill="1" applyBorder="1" applyAlignment="1">
      <alignment vertical="center" wrapText="1"/>
    </xf>
    <xf numFmtId="0" fontId="0" fillId="3" borderId="3" xfId="0" applyFill="1" applyBorder="1" applyAlignment="1">
      <alignment horizontal="center" vertical="center" wrapText="1"/>
    </xf>
    <xf numFmtId="0" fontId="0" fillId="3" borderId="4" xfId="0" applyFill="1" applyBorder="1" applyAlignment="1">
      <alignment horizontal="center" vertical="center" wrapText="1"/>
    </xf>
    <xf numFmtId="14" fontId="0" fillId="3" borderId="4" xfId="0" applyNumberFormat="1" applyFill="1" applyBorder="1" applyAlignment="1">
      <alignment horizontal="center" vertical="center" wrapText="1"/>
    </xf>
    <xf numFmtId="19" fontId="0" fillId="3" borderId="4" xfId="0" applyNumberFormat="1" applyFill="1" applyBorder="1" applyAlignment="1">
      <alignment horizontal="center" vertical="center" wrapText="1"/>
    </xf>
    <xf numFmtId="0" fontId="0" fillId="3" borderId="5"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14" fontId="0" fillId="4" borderId="4" xfId="0" applyNumberFormat="1" applyFill="1" applyBorder="1" applyAlignment="1">
      <alignment horizontal="center" vertical="center" wrapText="1"/>
    </xf>
    <xf numFmtId="19" fontId="0" fillId="4" borderId="4" xfId="0" applyNumberFormat="1" applyFill="1" applyBorder="1" applyAlignment="1">
      <alignment horizontal="center" vertical="center" wrapText="1"/>
    </xf>
    <xf numFmtId="0" fontId="0" fillId="4" borderId="5" xfId="0" applyFill="1" applyBorder="1" applyAlignment="1">
      <alignment horizontal="center" vertical="center" wrapText="1"/>
    </xf>
    <xf numFmtId="0" fontId="0" fillId="3" borderId="6" xfId="0" applyFill="1" applyBorder="1" applyAlignment="1">
      <alignment horizontal="center" vertical="center" wrapText="1"/>
    </xf>
    <xf numFmtId="0" fontId="0" fillId="3" borderId="7" xfId="0" applyFill="1" applyBorder="1" applyAlignment="1">
      <alignment horizontal="center" vertical="center" wrapText="1"/>
    </xf>
    <xf numFmtId="19" fontId="0" fillId="3" borderId="7" xfId="0" applyNumberFormat="1" applyFill="1" applyBorder="1" applyAlignment="1">
      <alignment horizontal="center" vertical="center" wrapText="1"/>
    </xf>
    <xf numFmtId="0" fontId="0" fillId="3" borderId="8" xfId="0"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4" fillId="5" borderId="0" xfId="0" applyFont="1" applyFill="1" applyAlignment="1">
      <alignment horizontal="center" vertical="center"/>
    </xf>
    <xf numFmtId="0" fontId="0" fillId="6" borderId="0" xfId="0" applyFill="1" applyAlignment="1"/>
    <xf numFmtId="0" fontId="0" fillId="6" borderId="0" xfId="0" applyFill="1" applyAlignment="1">
      <alignment horizontal="center"/>
    </xf>
    <xf numFmtId="0" fontId="3" fillId="6" borderId="0" xfId="0" applyFont="1" applyFill="1" applyAlignment="1">
      <alignment horizontal="center"/>
    </xf>
    <xf numFmtId="0" fontId="3" fillId="6" borderId="0" xfId="0" applyFont="1" applyFill="1" applyAlignment="1">
      <alignment horizontal="center" vertical="center"/>
    </xf>
    <xf numFmtId="0" fontId="5" fillId="6" borderId="0" xfId="0" applyFont="1" applyFill="1" applyAlignment="1">
      <alignment horizontal="center" vertical="center"/>
    </xf>
    <xf numFmtId="0" fontId="6" fillId="6" borderId="0" xfId="0" applyFont="1" applyFill="1" applyAlignment="1">
      <alignment horizontal="center" vertical="center"/>
    </xf>
    <xf numFmtId="0" fontId="6" fillId="6" borderId="0" xfId="0" applyFont="1" applyFill="1" applyAlignment="1">
      <alignment horizontal="center"/>
    </xf>
    <xf numFmtId="166" fontId="7" fillId="6" borderId="0" xfId="1" applyNumberFormat="1" applyFont="1" applyFill="1" applyAlignment="1">
      <alignment horizontal="center" vertical="center"/>
    </xf>
    <xf numFmtId="0" fontId="8" fillId="6" borderId="0" xfId="0" applyFont="1" applyFill="1" applyAlignment="1">
      <alignment horizontal="center" vertical="center"/>
    </xf>
    <xf numFmtId="0" fontId="9" fillId="6" borderId="0" xfId="0" applyFont="1" applyFill="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[داش بورد.xltx]Pivot Table!PivotTable1</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000">
                <a:solidFill>
                  <a:schemeClr val="accent4"/>
                </a:solidFill>
                <a:latin typeface="Algerian" panose="04020705040A02060702" pitchFamily="82" charset="0"/>
              </a:rPr>
              <a:t>Total Sales Per Size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a:outerShdw blurRad="57150" dist="19050" dir="5400000" algn="ctr" rotWithShape="0">
              <a:srgbClr val="000000">
                <a:alpha val="63000"/>
              </a:srgbClr>
            </a:outerShdw>
          </a:effectLst>
        </c:spPr>
        <c:dLbl>
          <c:idx val="0"/>
          <c:layout>
            <c:manualLayout>
              <c:x val="0.18279568571288665"/>
              <c:y val="-0.17533004154631709"/>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2">
              <a:lumMod val="90000"/>
            </a:schemeClr>
          </a:solidFill>
          <a:ln>
            <a:noFill/>
          </a:ln>
          <a:effectLst>
            <a:outerShdw blurRad="57150" dist="19050" dir="5400000" algn="ctr" rotWithShape="0">
              <a:srgbClr val="000000">
                <a:alpha val="63000"/>
              </a:srgbClr>
            </a:outerShdw>
          </a:effectLst>
        </c:spPr>
        <c:dLbl>
          <c:idx val="0"/>
          <c:layout>
            <c:manualLayout>
              <c:x val="0.15381588188035564"/>
              <c:y val="-0.12273102908242196"/>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lumMod val="65000"/>
            </a:schemeClr>
          </a:solidFill>
          <a:ln>
            <a:noFill/>
          </a:ln>
          <a:effectLst>
            <a:outerShdw blurRad="57150" dist="19050" dir="5400000" algn="ctr" rotWithShape="0">
              <a:srgbClr val="000000">
                <a:alpha val="63000"/>
              </a:srgbClr>
            </a:outerShdw>
          </a:effectLst>
        </c:spPr>
        <c:dLbl>
          <c:idx val="0"/>
          <c:layout>
            <c:manualLayout>
              <c:x val="-0.19617097978943918"/>
              <c:y val="-9.8184823265937568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1">
              <a:lumMod val="50000"/>
            </a:schemeClr>
          </a:solidFill>
          <a:ln>
            <a:noFill/>
          </a:ln>
          <a:effectLst>
            <a:outerShdw blurRad="57150" dist="19050" dir="5400000" algn="ctr" rotWithShape="0">
              <a:srgbClr val="000000">
                <a:alpha val="63000"/>
              </a:srgbClr>
            </a:outerShdw>
          </a:effectLst>
        </c:spPr>
        <c:dLbl>
          <c:idx val="0"/>
          <c:layout>
            <c:manualLayout>
              <c:x val="-0.20285862682771549"/>
              <c:y val="-6.6625415787600492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C000"/>
          </a:solidFill>
          <a:ln>
            <a:noFill/>
          </a:ln>
          <a:effectLst>
            <a:outerShdw blurRad="57150" dist="19050" dir="5400000" algn="ctr" rotWithShape="0">
              <a:srgbClr val="000000">
                <a:alpha val="63000"/>
              </a:srgbClr>
            </a:outerShdw>
          </a:effectLst>
        </c:spPr>
        <c:dLbl>
          <c:idx val="0"/>
          <c:layout>
            <c:manualLayout>
              <c:x val="0.18279568571288665"/>
              <c:y val="-0.17533004154631709"/>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50000"/>
            </a:schemeClr>
          </a:solidFill>
          <a:ln>
            <a:noFill/>
          </a:ln>
          <a:effectLst>
            <a:outerShdw blurRad="57150" dist="19050" dir="5400000" algn="ctr" rotWithShape="0">
              <a:srgbClr val="000000">
                <a:alpha val="63000"/>
              </a:srgbClr>
            </a:outerShdw>
          </a:effectLst>
        </c:spPr>
        <c:dLbl>
          <c:idx val="0"/>
          <c:layout>
            <c:manualLayout>
              <c:x val="-0.20285862682771549"/>
              <c:y val="-6.6625415787600492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1">
              <a:lumMod val="65000"/>
            </a:schemeClr>
          </a:solidFill>
          <a:ln>
            <a:noFill/>
          </a:ln>
          <a:effectLst>
            <a:outerShdw blurRad="57150" dist="19050" dir="5400000" algn="ctr" rotWithShape="0">
              <a:srgbClr val="000000">
                <a:alpha val="63000"/>
              </a:srgbClr>
            </a:outerShdw>
          </a:effectLst>
        </c:spPr>
        <c:dLbl>
          <c:idx val="0"/>
          <c:layout>
            <c:manualLayout>
              <c:x val="-0.19617097978943918"/>
              <c:y val="-9.8184823265937568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lumMod val="90000"/>
            </a:schemeClr>
          </a:solidFill>
          <a:ln>
            <a:noFill/>
          </a:ln>
          <a:effectLst>
            <a:outerShdw blurRad="57150" dist="19050" dir="5400000" algn="ctr" rotWithShape="0">
              <a:srgbClr val="000000">
                <a:alpha val="63000"/>
              </a:srgbClr>
            </a:outerShdw>
          </a:effectLst>
        </c:spPr>
        <c:dLbl>
          <c:idx val="0"/>
          <c:layout>
            <c:manualLayout>
              <c:x val="0.15381588188035564"/>
              <c:y val="-0.12273102908242196"/>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C000"/>
          </a:solidFill>
          <a:ln>
            <a:noFill/>
          </a:ln>
          <a:effectLst>
            <a:outerShdw blurRad="57150" dist="19050" dir="5400000" algn="ctr" rotWithShape="0">
              <a:srgbClr val="000000">
                <a:alpha val="63000"/>
              </a:srgbClr>
            </a:outerShdw>
          </a:effectLst>
        </c:spPr>
        <c:dLbl>
          <c:idx val="0"/>
          <c:layout>
            <c:manualLayout>
              <c:x val="0.18279568571288665"/>
              <c:y val="-0.17533004154631709"/>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1">
              <a:lumMod val="50000"/>
            </a:schemeClr>
          </a:solidFill>
          <a:ln>
            <a:noFill/>
          </a:ln>
          <a:effectLst>
            <a:outerShdw blurRad="57150" dist="19050" dir="5400000" algn="ctr" rotWithShape="0">
              <a:srgbClr val="000000">
                <a:alpha val="63000"/>
              </a:srgbClr>
            </a:outerShdw>
          </a:effectLst>
        </c:spPr>
        <c:dLbl>
          <c:idx val="0"/>
          <c:layout>
            <c:manualLayout>
              <c:x val="-0.20285862682771549"/>
              <c:y val="-6.662541578760049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1">
              <a:lumMod val="65000"/>
            </a:schemeClr>
          </a:solidFill>
          <a:ln>
            <a:noFill/>
          </a:ln>
          <a:effectLst>
            <a:outerShdw blurRad="57150" dist="19050" dir="5400000" algn="ctr" rotWithShape="0">
              <a:srgbClr val="000000">
                <a:alpha val="63000"/>
              </a:srgbClr>
            </a:outerShdw>
          </a:effectLst>
        </c:spPr>
        <c:dLbl>
          <c:idx val="0"/>
          <c:layout>
            <c:manualLayout>
              <c:x val="-0.19617097978943918"/>
              <c:y val="-9.8184823265937568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2">
              <a:lumMod val="90000"/>
            </a:schemeClr>
          </a:solidFill>
          <a:ln>
            <a:noFill/>
          </a:ln>
          <a:effectLst>
            <a:outerShdw blurRad="57150" dist="19050" dir="5400000" algn="ctr" rotWithShape="0">
              <a:srgbClr val="000000">
                <a:alpha val="63000"/>
              </a:srgbClr>
            </a:outerShdw>
          </a:effectLst>
        </c:spPr>
        <c:dLbl>
          <c:idx val="0"/>
          <c:layout>
            <c:manualLayout>
              <c:x val="0.15381588188035564"/>
              <c:y val="-0.12273102908242196"/>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Table'!$C$3</c:f>
              <c:strCache>
                <c:ptCount val="1"/>
                <c:pt idx="0">
                  <c:v>Total</c:v>
                </c:pt>
              </c:strCache>
            </c:strRef>
          </c:tx>
          <c:explosion val="16"/>
          <c:dPt>
            <c:idx val="0"/>
            <c:bubble3D val="0"/>
            <c:spPr>
              <a:solidFill>
                <a:srgbClr val="FFC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468-4671-AC85-10AAE4BF388A}"/>
              </c:ext>
            </c:extLst>
          </c:dPt>
          <c:dPt>
            <c:idx val="1"/>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468-4671-AC85-10AAE4BF388A}"/>
              </c:ext>
            </c:extLst>
          </c:dPt>
          <c:dPt>
            <c:idx val="2"/>
            <c:bubble3D val="0"/>
            <c:spPr>
              <a:solidFill>
                <a:schemeClr val="bg1">
                  <a:lumMod val="6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468-4671-AC85-10AAE4BF388A}"/>
              </c:ext>
            </c:extLst>
          </c:dPt>
          <c:dPt>
            <c:idx val="3"/>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468-4671-AC85-10AAE4BF388A}"/>
              </c:ext>
            </c:extLst>
          </c:dPt>
          <c:dLbls>
            <c:dLbl>
              <c:idx val="0"/>
              <c:layout>
                <c:manualLayout>
                  <c:x val="0.18279568571288665"/>
                  <c:y val="-0.1753300415463170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468-4671-AC85-10AAE4BF388A}"/>
                </c:ext>
              </c:extLst>
            </c:dLbl>
            <c:dLbl>
              <c:idx val="1"/>
              <c:layout>
                <c:manualLayout>
                  <c:x val="-0.20285862682771549"/>
                  <c:y val="-6.66254157876004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468-4671-AC85-10AAE4BF388A}"/>
                </c:ext>
              </c:extLst>
            </c:dLbl>
            <c:dLbl>
              <c:idx val="2"/>
              <c:layout>
                <c:manualLayout>
                  <c:x val="-0.19617097978943918"/>
                  <c:y val="-9.81848232659375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468-4671-AC85-10AAE4BF388A}"/>
                </c:ext>
              </c:extLst>
            </c:dLbl>
            <c:dLbl>
              <c:idx val="3"/>
              <c:layout>
                <c:manualLayout>
                  <c:x val="0.15381588188035564"/>
                  <c:y val="-0.1227310290824219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468-4671-AC85-10AAE4BF388A}"/>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Table'!$B$4:$B$8</c:f>
              <c:strCache>
                <c:ptCount val="4"/>
                <c:pt idx="0">
                  <c:v>L</c:v>
                </c:pt>
                <c:pt idx="1">
                  <c:v>M</c:v>
                </c:pt>
                <c:pt idx="2">
                  <c:v>S</c:v>
                </c:pt>
                <c:pt idx="3">
                  <c:v>XL</c:v>
                </c:pt>
              </c:strCache>
            </c:strRef>
          </c:cat>
          <c:val>
            <c:numRef>
              <c:f>'Pivot Table'!$C$4:$C$8</c:f>
              <c:numCache>
                <c:formatCode>General</c:formatCode>
                <c:ptCount val="4"/>
                <c:pt idx="0">
                  <c:v>4004.4999999999991</c:v>
                </c:pt>
                <c:pt idx="1">
                  <c:v>2262.25</c:v>
                </c:pt>
                <c:pt idx="2">
                  <c:v>1888.8000000000002</c:v>
                </c:pt>
                <c:pt idx="3">
                  <c:v>280.5</c:v>
                </c:pt>
              </c:numCache>
            </c:numRef>
          </c:val>
          <c:extLst>
            <c:ext xmlns:c16="http://schemas.microsoft.com/office/drawing/2014/chart" uri="{C3380CC4-5D6E-409C-BE32-E72D297353CC}">
              <c16:uniqueId val="{00000008-D468-4671-AC85-10AAE4BF388A}"/>
            </c:ext>
          </c:extLst>
        </c:ser>
        <c:dLbls>
          <c:showLegendKey val="0"/>
          <c:showVal val="1"/>
          <c:showCatName val="0"/>
          <c:showSerName val="0"/>
          <c:showPercent val="0"/>
          <c:showBubbleSize val="0"/>
          <c:showLeaderLines val="1"/>
        </c:dLbls>
        <c:firstSliceAng val="10"/>
        <c:holeSize val="4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[داش بورد.xltx]Pivot Table!PivotTable3</c:name>
    <c:fmtId val="11"/>
  </c:pivotSource>
  <c:chart>
    <c:title>
      <c:tx>
        <c:rich>
          <a:bodyPr rot="0" spcFirstLastPara="1" vertOverflow="ellipsis" vert="horz" wrap="square" anchor="ctr" anchorCtr="1"/>
          <a:lstStyle/>
          <a:p>
            <a:pPr>
              <a:defRPr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r>
              <a:rPr lang="en-US" sz="1400">
                <a:solidFill>
                  <a:schemeClr val="accent4"/>
                </a:solidFill>
                <a:latin typeface="Algerian" panose="04020705040A02060702" pitchFamily="82" charset="0"/>
              </a:rPr>
              <a:t>Total Sales Pizza Per Qategory</a:t>
            </a:r>
          </a:p>
        </c:rich>
      </c:tx>
      <c:layout>
        <c:manualLayout>
          <c:xMode val="edge"/>
          <c:yMode val="edge"/>
          <c:x val="0.209837881088734"/>
          <c:y val="1.927438028883493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lumMod val="95000"/>
            </a:schemeClr>
          </a:solidFill>
          <a:ln>
            <a:noFill/>
          </a:ln>
          <a:effectLst>
            <a:outerShdw blurRad="57150" dist="19050" dir="5400000" algn="ctr" rotWithShape="0">
              <a:srgbClr val="000000">
                <a:alpha val="63000"/>
              </a:srgbClr>
            </a:outerShdw>
          </a:effectLst>
        </c:spPr>
        <c:dLbl>
          <c:idx val="0"/>
          <c:layout>
            <c:manualLayout>
              <c:x val="3.62497793017428E-2"/>
              <c:y val="2.6213722614537908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lumMod val="75000"/>
            </a:schemeClr>
          </a:solidFill>
          <a:ln>
            <a:noFill/>
          </a:ln>
          <a:effectLst>
            <a:outerShdw blurRad="57150" dist="19050" dir="5400000" algn="ctr" rotWithShape="0">
              <a:srgbClr val="000000">
                <a:alpha val="63000"/>
              </a:srgbClr>
            </a:outerShdw>
          </a:effectLst>
        </c:spPr>
        <c:dLbl>
          <c:idx val="0"/>
          <c:layout>
            <c:manualLayout>
              <c:x val="-2.2595568813664851E-2"/>
              <c:y val="-2.928816745934982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lumMod val="50000"/>
            </a:schemeClr>
          </a:solidFill>
          <a:ln>
            <a:noFill/>
          </a:ln>
          <a:effectLst>
            <a:outerShdw blurRad="57150" dist="19050" dir="5400000" algn="ctr" rotWithShape="0">
              <a:srgbClr val="000000">
                <a:alpha val="63000"/>
              </a:srgbClr>
            </a:outerShdw>
          </a:effectLst>
        </c:spPr>
        <c:dLbl>
          <c:idx val="0"/>
          <c:layout>
            <c:manualLayout>
              <c:x val="-7.7655638781056871E-2"/>
              <c:y val="-5.3559406963445251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solidFill>
          <a:ln>
            <a:noFill/>
          </a:ln>
          <a:effectLst>
            <a:outerShdw blurRad="57150" dist="19050" dir="5400000" algn="ctr" rotWithShape="0">
              <a:srgbClr val="000000">
                <a:alpha val="63000"/>
              </a:srgbClr>
            </a:outerShdw>
          </a:effectLst>
        </c:spPr>
        <c:dLbl>
          <c:idx val="0"/>
          <c:layout>
            <c:manualLayout>
              <c:x val="2.7340841592778008E-2"/>
              <c:y val="4.4745854259298126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1">
              <a:lumMod val="95000"/>
            </a:schemeClr>
          </a:solidFill>
          <a:ln>
            <a:noFill/>
          </a:ln>
          <a:effectLst>
            <a:outerShdw blurRad="57150" dist="19050" dir="5400000" algn="ctr" rotWithShape="0">
              <a:srgbClr val="000000">
                <a:alpha val="63000"/>
              </a:srgbClr>
            </a:outerShdw>
          </a:effectLst>
        </c:spPr>
        <c:dLbl>
          <c:idx val="0"/>
          <c:layout>
            <c:manualLayout>
              <c:x val="3.62497793017428E-2"/>
              <c:y val="2.6213722614537908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a:outerShdw blurRad="57150" dist="19050" dir="5400000" algn="ctr" rotWithShape="0">
              <a:srgbClr val="000000">
                <a:alpha val="63000"/>
              </a:srgbClr>
            </a:outerShdw>
          </a:effectLst>
        </c:spPr>
        <c:dLbl>
          <c:idx val="0"/>
          <c:layout>
            <c:manualLayout>
              <c:x val="2.7340841592778008E-2"/>
              <c:y val="4.4745854259298126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1">
              <a:lumMod val="50000"/>
            </a:schemeClr>
          </a:solidFill>
          <a:ln>
            <a:noFill/>
          </a:ln>
          <a:effectLst>
            <a:outerShdw blurRad="57150" dist="19050" dir="5400000" algn="ctr" rotWithShape="0">
              <a:srgbClr val="000000">
                <a:alpha val="63000"/>
              </a:srgbClr>
            </a:outerShdw>
          </a:effectLst>
        </c:spPr>
        <c:dLbl>
          <c:idx val="0"/>
          <c:layout>
            <c:manualLayout>
              <c:x val="-7.7655638781056871E-2"/>
              <c:y val="-5.3559406963445251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75000"/>
            </a:schemeClr>
          </a:solidFill>
          <a:ln>
            <a:noFill/>
          </a:ln>
          <a:effectLst>
            <a:outerShdw blurRad="57150" dist="19050" dir="5400000" algn="ctr" rotWithShape="0">
              <a:srgbClr val="000000">
                <a:alpha val="63000"/>
              </a:srgbClr>
            </a:outerShdw>
          </a:effectLst>
        </c:spPr>
        <c:dLbl>
          <c:idx val="0"/>
          <c:layout>
            <c:manualLayout>
              <c:x val="-2.2595568813664851E-2"/>
              <c:y val="-2.928816745934982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95000"/>
            </a:schemeClr>
          </a:solidFill>
          <a:ln>
            <a:noFill/>
          </a:ln>
          <a:effectLst>
            <a:outerShdw blurRad="57150" dist="19050" dir="5400000" algn="ctr" rotWithShape="0">
              <a:srgbClr val="000000">
                <a:alpha val="63000"/>
              </a:srgbClr>
            </a:outerShdw>
          </a:effectLst>
        </c:spPr>
        <c:dLbl>
          <c:idx val="0"/>
          <c:layout>
            <c:manualLayout>
              <c:x val="3.62497793017428E-2"/>
              <c:y val="2.6213722614537908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C000"/>
          </a:solidFill>
          <a:ln>
            <a:noFill/>
          </a:ln>
          <a:effectLst>
            <a:outerShdw blurRad="57150" dist="19050" dir="5400000" algn="ctr" rotWithShape="0">
              <a:srgbClr val="000000">
                <a:alpha val="63000"/>
              </a:srgbClr>
            </a:outerShdw>
          </a:effectLst>
        </c:spPr>
        <c:dLbl>
          <c:idx val="0"/>
          <c:layout>
            <c:manualLayout>
              <c:x val="2.7340841592778008E-2"/>
              <c:y val="4.4745854259298126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1">
              <a:lumMod val="50000"/>
            </a:schemeClr>
          </a:solidFill>
          <a:ln>
            <a:noFill/>
          </a:ln>
          <a:effectLst>
            <a:outerShdw blurRad="57150" dist="19050" dir="5400000" algn="ctr" rotWithShape="0">
              <a:srgbClr val="000000">
                <a:alpha val="63000"/>
              </a:srgbClr>
            </a:outerShdw>
          </a:effectLst>
        </c:spPr>
        <c:dLbl>
          <c:idx val="0"/>
          <c:layout>
            <c:manualLayout>
              <c:x val="-7.7655638781056871E-2"/>
              <c:y val="-5.3559406963445251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1">
              <a:lumMod val="75000"/>
            </a:schemeClr>
          </a:solidFill>
          <a:ln>
            <a:noFill/>
          </a:ln>
          <a:effectLst>
            <a:outerShdw blurRad="57150" dist="19050" dir="5400000" algn="ctr" rotWithShape="0">
              <a:srgbClr val="000000">
                <a:alpha val="63000"/>
              </a:srgbClr>
            </a:outerShdw>
          </a:effectLst>
        </c:spPr>
        <c:dLbl>
          <c:idx val="0"/>
          <c:layout>
            <c:manualLayout>
              <c:x val="-2.2595568813664851E-2"/>
              <c:y val="-2.928816745934982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 Table'!$C$12</c:f>
              <c:strCache>
                <c:ptCount val="1"/>
                <c:pt idx="0">
                  <c:v>Total</c:v>
                </c:pt>
              </c:strCache>
            </c:strRef>
          </c:tx>
          <c:explosion val="12"/>
          <c:dPt>
            <c:idx val="0"/>
            <c:bubble3D val="0"/>
            <c:spPr>
              <a:solidFill>
                <a:schemeClr val="bg1">
                  <a:lumMod val="9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A2-4901-BAAE-D6DFCF86C08E}"/>
              </c:ext>
            </c:extLst>
          </c:dPt>
          <c:dPt>
            <c:idx val="1"/>
            <c:bubble3D val="0"/>
            <c:spPr>
              <a:solidFill>
                <a:srgbClr val="FFC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A2-4901-BAAE-D6DFCF86C08E}"/>
              </c:ext>
            </c:extLst>
          </c:dPt>
          <c:dPt>
            <c:idx val="2"/>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A2-4901-BAAE-D6DFCF86C08E}"/>
              </c:ext>
            </c:extLst>
          </c:dPt>
          <c:dPt>
            <c:idx val="3"/>
            <c:bubble3D val="0"/>
            <c:spPr>
              <a:solidFill>
                <a:schemeClr val="bg1">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A2-4901-BAAE-D6DFCF86C08E}"/>
              </c:ext>
            </c:extLst>
          </c:dPt>
          <c:dLbls>
            <c:dLbl>
              <c:idx val="0"/>
              <c:layout>
                <c:manualLayout>
                  <c:x val="3.62497793017428E-2"/>
                  <c:y val="2.621372261453790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8A2-4901-BAAE-D6DFCF86C08E}"/>
                </c:ext>
              </c:extLst>
            </c:dLbl>
            <c:dLbl>
              <c:idx val="1"/>
              <c:layout>
                <c:manualLayout>
                  <c:x val="2.7340841592778008E-2"/>
                  <c:y val="4.4745854259298126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8A2-4901-BAAE-D6DFCF86C08E}"/>
                </c:ext>
              </c:extLst>
            </c:dLbl>
            <c:dLbl>
              <c:idx val="2"/>
              <c:layout>
                <c:manualLayout>
                  <c:x val="-7.7655638781056871E-2"/>
                  <c:y val="-5.355940696344525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8A2-4901-BAAE-D6DFCF86C08E}"/>
                </c:ext>
              </c:extLst>
            </c:dLbl>
            <c:dLbl>
              <c:idx val="3"/>
              <c:layout>
                <c:manualLayout>
                  <c:x val="-2.2595568813664851E-2"/>
                  <c:y val="-2.928816745934982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8A2-4901-BAAE-D6DFCF86C08E}"/>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Table'!$B$13:$B$17</c:f>
              <c:strCache>
                <c:ptCount val="4"/>
                <c:pt idx="0">
                  <c:v>Chicken</c:v>
                </c:pt>
                <c:pt idx="1">
                  <c:v>Classic</c:v>
                </c:pt>
                <c:pt idx="2">
                  <c:v>Supreme</c:v>
                </c:pt>
                <c:pt idx="3">
                  <c:v>Veggie</c:v>
                </c:pt>
              </c:strCache>
            </c:strRef>
          </c:cat>
          <c:val>
            <c:numRef>
              <c:f>'Pivot Table'!$C$13:$C$17</c:f>
              <c:numCache>
                <c:formatCode>General</c:formatCode>
                <c:ptCount val="4"/>
                <c:pt idx="0">
                  <c:v>1744</c:v>
                </c:pt>
                <c:pt idx="1">
                  <c:v>2274.75</c:v>
                </c:pt>
                <c:pt idx="2">
                  <c:v>2052.0500000000002</c:v>
                </c:pt>
                <c:pt idx="3">
                  <c:v>2365.2500000000009</c:v>
                </c:pt>
              </c:numCache>
            </c:numRef>
          </c:val>
          <c:extLst>
            <c:ext xmlns:c16="http://schemas.microsoft.com/office/drawing/2014/chart" uri="{C3380CC4-5D6E-409C-BE32-E72D297353CC}">
              <c16:uniqueId val="{00000008-88A2-4901-BAAE-D6DFCF86C08E}"/>
            </c:ext>
          </c:extLst>
        </c:ser>
        <c:dLbls>
          <c:dLblPos val="bestFit"/>
          <c:showLegendKey val="0"/>
          <c:showVal val="1"/>
          <c:showCatName val="0"/>
          <c:showSerName val="0"/>
          <c:showPercent val="0"/>
          <c:showBubbleSize val="0"/>
          <c:showLeaderLines val="1"/>
        </c:dLbls>
        <c:firstSliceAng val="2"/>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1"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[داش بورد.xltx]Pivot Table!PivotTable4</c:name>
    <c:fmtId val="1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000">
                <a:solidFill>
                  <a:schemeClr val="accent4"/>
                </a:solidFill>
                <a:latin typeface="Algerian" panose="04020705040A02060702" pitchFamily="82" charset="0"/>
              </a:rPr>
              <a:t>Huorly</a:t>
            </a:r>
            <a:r>
              <a:rPr lang="en-US" sz="2000" baseline="0">
                <a:solidFill>
                  <a:schemeClr val="accent4"/>
                </a:solidFill>
                <a:latin typeface="Algerian" panose="04020705040A02060702" pitchFamily="82" charset="0"/>
              </a:rPr>
              <a:t> Order Trend</a:t>
            </a:r>
            <a:endParaRPr lang="en-US" sz="2000">
              <a:solidFill>
                <a:schemeClr val="accent4"/>
              </a:solidFill>
              <a:latin typeface="Algerian" panose="04020705040A02060702" pitchFamily="82" charset="0"/>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34925" cap="rnd">
            <a:solidFill>
              <a:srgbClr val="FF0000"/>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pivotFmt>
      <c:pivotFmt>
        <c:idx val="8"/>
        <c:spPr>
          <a:ln w="34925" cap="rnd">
            <a:solidFill>
              <a:srgbClr val="FF0000"/>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'Pivot Table'!$F$3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Pt>
            <c:idx val="11"/>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rgbClr val="FF0000"/>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D23-40DD-88A5-D73A5EDA2B52}"/>
              </c:ext>
            </c:extLst>
          </c:dPt>
          <c:dPt>
            <c:idx val="12"/>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rgbClr val="FF0000"/>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D23-40DD-88A5-D73A5EDA2B5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Table'!$E$4:$E$17</c:f>
              <c:strCache>
                <c:ptCount val="13"/>
                <c:pt idx="0">
                  <c:v>11 AM</c:v>
                </c:pt>
                <c:pt idx="1">
                  <c:v>12 PM</c:v>
                </c:pt>
                <c:pt idx="2">
                  <c:v>1 PM</c:v>
                </c:pt>
                <c:pt idx="3">
                  <c:v>2 PM</c:v>
                </c:pt>
                <c:pt idx="4">
                  <c:v>3 PM</c:v>
                </c:pt>
                <c:pt idx="5">
                  <c:v>4 PM</c:v>
                </c:pt>
                <c:pt idx="6">
                  <c:v>5 PM</c:v>
                </c:pt>
                <c:pt idx="7">
                  <c:v>6 PM</c:v>
                </c:pt>
                <c:pt idx="8">
                  <c:v>7 PM</c:v>
                </c:pt>
                <c:pt idx="9">
                  <c:v>8 PM</c:v>
                </c:pt>
                <c:pt idx="10">
                  <c:v>9 PM</c:v>
                </c:pt>
                <c:pt idx="11">
                  <c:v>10 PM</c:v>
                </c:pt>
                <c:pt idx="12">
                  <c:v>11 PM</c:v>
                </c:pt>
              </c:strCache>
            </c:strRef>
          </c:cat>
          <c:val>
            <c:numRef>
              <c:f>'Pivot Table'!$F$4:$F$17</c:f>
              <c:numCache>
                <c:formatCode>General</c:formatCode>
                <c:ptCount val="13"/>
                <c:pt idx="0">
                  <c:v>26</c:v>
                </c:pt>
                <c:pt idx="1">
                  <c:v>55</c:v>
                </c:pt>
                <c:pt idx="2">
                  <c:v>56</c:v>
                </c:pt>
                <c:pt idx="3">
                  <c:v>40</c:v>
                </c:pt>
                <c:pt idx="4">
                  <c:v>34</c:v>
                </c:pt>
                <c:pt idx="5">
                  <c:v>41</c:v>
                </c:pt>
                <c:pt idx="6">
                  <c:v>72</c:v>
                </c:pt>
                <c:pt idx="7">
                  <c:v>55</c:v>
                </c:pt>
                <c:pt idx="8">
                  <c:v>51</c:v>
                </c:pt>
                <c:pt idx="9">
                  <c:v>27</c:v>
                </c:pt>
                <c:pt idx="10">
                  <c:v>27</c:v>
                </c:pt>
                <c:pt idx="11">
                  <c:v>13</c:v>
                </c:pt>
                <c:pt idx="12">
                  <c:v>2</c:v>
                </c:pt>
              </c:numCache>
            </c:numRef>
          </c:val>
          <c:smooth val="1"/>
          <c:extLst>
            <c:ext xmlns:c16="http://schemas.microsoft.com/office/drawing/2014/chart" uri="{C3380CC4-5D6E-409C-BE32-E72D297353CC}">
              <c16:uniqueId val="{00000004-DD23-40DD-88A5-D73A5EDA2B52}"/>
            </c:ext>
          </c:extLst>
        </c:ser>
        <c:dLbls>
          <c:dLblPos val="t"/>
          <c:showLegendKey val="0"/>
          <c:showVal val="1"/>
          <c:showCatName val="0"/>
          <c:showSerName val="0"/>
          <c:showPercent val="0"/>
          <c:showBubbleSize val="0"/>
        </c:dLbls>
        <c:marker val="1"/>
        <c:smooth val="0"/>
        <c:axId val="964648208"/>
        <c:axId val="791120032"/>
      </c:lineChart>
      <c:catAx>
        <c:axId val="96464820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1120032"/>
        <c:crosses val="autoZero"/>
        <c:auto val="1"/>
        <c:lblAlgn val="ctr"/>
        <c:lblOffset val="100"/>
        <c:noMultiLvlLbl val="0"/>
      </c:catAx>
      <c:valAx>
        <c:axId val="791120032"/>
        <c:scaling>
          <c:orientation val="minMax"/>
        </c:scaling>
        <c:delete val="1"/>
        <c:axPos val="l"/>
        <c:numFmt formatCode="General" sourceLinked="1"/>
        <c:majorTickMark val="none"/>
        <c:minorTickMark val="none"/>
        <c:tickLblPos val="nextTo"/>
        <c:crossAx val="964648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[داش بورد.xltx]Pivot Table!PivotTable6</c:name>
    <c:fmtId val="2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1">
                <a:solidFill>
                  <a:schemeClr val="accent4"/>
                </a:solidFill>
                <a:latin typeface="Algerian" panose="04020705040A02060702" pitchFamily="82" charset="0"/>
              </a:rPr>
              <a:t>Top 5 mOST</a:t>
            </a:r>
            <a:r>
              <a:rPr lang="en-US" b="1" baseline="0">
                <a:solidFill>
                  <a:schemeClr val="accent4"/>
                </a:solidFill>
                <a:latin typeface="Algerian" panose="04020705040A02060702" pitchFamily="82" charset="0"/>
              </a:rPr>
              <a:t> expinsive pizza</a:t>
            </a:r>
            <a:endParaRPr lang="en-US" b="1">
              <a:solidFill>
                <a:schemeClr val="accent4"/>
              </a:solidFill>
              <a:latin typeface="Algerian" panose="04020705040A02060702" pitchFamily="82" charset="0"/>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a:outerShdw blurRad="57150" dist="19050" dir="5400000" algn="ctr" rotWithShape="0">
              <a:srgbClr val="000000">
                <a:alpha val="63000"/>
              </a:srgbClr>
            </a:outerShdw>
          </a:effectLst>
        </c:spPr>
      </c:pivotFmt>
      <c:pivotFmt>
        <c:idx val="2"/>
        <c:spPr>
          <a:solidFill>
            <a:schemeClr val="bg1">
              <a:lumMod val="50000"/>
            </a:schemeClr>
          </a:solidFill>
          <a:ln>
            <a:noFill/>
          </a:ln>
          <a:effectLst>
            <a:outerShdw blurRad="57150" dist="19050" dir="5400000" algn="ctr" rotWithShape="0">
              <a:srgbClr val="000000">
                <a:alpha val="63000"/>
              </a:srgbClr>
            </a:outerShdw>
          </a:effectLst>
        </c:spPr>
      </c:pivotFmt>
      <c:pivotFmt>
        <c:idx val="3"/>
        <c:spPr>
          <a:solidFill>
            <a:schemeClr val="bg1">
              <a:lumMod val="65000"/>
            </a:schemeClr>
          </a:solidFill>
          <a:ln>
            <a:noFill/>
          </a:ln>
          <a:effectLst>
            <a:outerShdw blurRad="57150" dist="19050" dir="5400000" algn="ctr" rotWithShape="0">
              <a:srgbClr val="000000">
                <a:alpha val="63000"/>
              </a:srgbClr>
            </a:outerShdw>
          </a:effectLst>
        </c:spPr>
      </c:pivotFmt>
      <c:pivotFmt>
        <c:idx val="4"/>
        <c:spPr>
          <a:solidFill>
            <a:schemeClr val="bg1">
              <a:lumMod val="75000"/>
            </a:schemeClr>
          </a:solidFill>
          <a:ln>
            <a:noFill/>
          </a:ln>
          <a:effectLst>
            <a:outerShdw blurRad="57150" dist="19050" dir="5400000" algn="ctr" rotWithShape="0">
              <a:srgbClr val="000000">
                <a:alpha val="63000"/>
              </a:srgbClr>
            </a:outerShdw>
          </a:effectLst>
        </c:spPr>
      </c:pivotFmt>
      <c:pivotFmt>
        <c:idx val="5"/>
        <c:spPr>
          <a:solidFill>
            <a:schemeClr val="bg1">
              <a:lumMod val="85000"/>
            </a:schemeClr>
          </a:soli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a:outerShdw blurRad="57150" dist="19050" dir="5400000" algn="ctr" rotWithShape="0">
              <a:srgbClr val="000000">
                <a:alpha val="63000"/>
              </a:srgbClr>
            </a:outerShdw>
          </a:effectLst>
        </c:spPr>
      </c:pivotFmt>
      <c:pivotFmt>
        <c:idx val="8"/>
        <c:spPr>
          <a:solidFill>
            <a:schemeClr val="bg1">
              <a:lumMod val="50000"/>
            </a:schemeClr>
          </a:solidFill>
          <a:ln>
            <a:noFill/>
          </a:ln>
          <a:effectLst>
            <a:outerShdw blurRad="57150" dist="19050" dir="5400000" algn="ctr" rotWithShape="0">
              <a:srgbClr val="000000">
                <a:alpha val="63000"/>
              </a:srgbClr>
            </a:outerShdw>
          </a:effectLst>
        </c:spPr>
      </c:pivotFmt>
      <c:pivotFmt>
        <c:idx val="9"/>
        <c:spPr>
          <a:solidFill>
            <a:schemeClr val="bg1">
              <a:lumMod val="65000"/>
            </a:schemeClr>
          </a:solidFill>
          <a:ln>
            <a:noFill/>
          </a:ln>
          <a:effectLst>
            <a:outerShdw blurRad="57150" dist="19050" dir="5400000" algn="ctr" rotWithShape="0">
              <a:srgbClr val="000000">
                <a:alpha val="63000"/>
              </a:srgbClr>
            </a:outerShdw>
          </a:effectLst>
        </c:spPr>
      </c:pivotFmt>
      <c:pivotFmt>
        <c:idx val="10"/>
        <c:spPr>
          <a:solidFill>
            <a:schemeClr val="bg1">
              <a:lumMod val="75000"/>
            </a:schemeClr>
          </a:solidFill>
          <a:ln>
            <a:noFill/>
          </a:ln>
          <a:effectLst>
            <a:outerShdw blurRad="57150" dist="19050" dir="5400000" algn="ctr" rotWithShape="0">
              <a:srgbClr val="000000">
                <a:alpha val="63000"/>
              </a:srgbClr>
            </a:outerShdw>
          </a:effectLst>
        </c:spPr>
      </c:pivotFmt>
      <c:pivotFmt>
        <c:idx val="11"/>
        <c:spPr>
          <a:solidFill>
            <a:schemeClr val="bg1">
              <a:lumMod val="85000"/>
            </a:schemeClr>
          </a:soli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C000"/>
          </a:solidFill>
          <a:ln>
            <a:noFill/>
          </a:ln>
          <a:effectLst>
            <a:outerShdw blurRad="57150" dist="19050" dir="5400000" algn="ctr" rotWithShape="0">
              <a:srgbClr val="000000">
                <a:alpha val="63000"/>
              </a:srgbClr>
            </a:outerShdw>
          </a:effectLst>
        </c:spPr>
      </c:pivotFmt>
      <c:pivotFmt>
        <c:idx val="14"/>
        <c:spPr>
          <a:solidFill>
            <a:schemeClr val="bg1">
              <a:lumMod val="50000"/>
            </a:schemeClr>
          </a:solidFill>
          <a:ln>
            <a:noFill/>
          </a:ln>
          <a:effectLst>
            <a:outerShdw blurRad="57150" dist="19050" dir="5400000" algn="ctr" rotWithShape="0">
              <a:srgbClr val="000000">
                <a:alpha val="63000"/>
              </a:srgbClr>
            </a:outerShdw>
          </a:effectLst>
        </c:spPr>
      </c:pivotFmt>
      <c:pivotFmt>
        <c:idx val="15"/>
        <c:spPr>
          <a:solidFill>
            <a:schemeClr val="bg1">
              <a:lumMod val="65000"/>
            </a:schemeClr>
          </a:solidFill>
          <a:ln>
            <a:noFill/>
          </a:ln>
          <a:effectLst>
            <a:outerShdw blurRad="57150" dist="19050" dir="5400000" algn="ctr" rotWithShape="0">
              <a:srgbClr val="000000">
                <a:alpha val="63000"/>
              </a:srgbClr>
            </a:outerShdw>
          </a:effectLst>
        </c:spPr>
      </c:pivotFmt>
      <c:pivotFmt>
        <c:idx val="16"/>
        <c:spPr>
          <a:solidFill>
            <a:schemeClr val="bg1">
              <a:lumMod val="75000"/>
            </a:schemeClr>
          </a:solidFill>
          <a:ln>
            <a:noFill/>
          </a:ln>
          <a:effectLst>
            <a:outerShdw blurRad="57150" dist="19050" dir="5400000" algn="ctr" rotWithShape="0">
              <a:srgbClr val="000000">
                <a:alpha val="63000"/>
              </a:srgbClr>
            </a:outerShdw>
          </a:effectLst>
        </c:spPr>
      </c:pivotFmt>
      <c:pivotFmt>
        <c:idx val="17"/>
        <c:spPr>
          <a:solidFill>
            <a:schemeClr val="bg1">
              <a:lumMod val="85000"/>
            </a:schemeClr>
          </a:solidFill>
          <a:ln>
            <a:noFill/>
          </a:ln>
          <a:effectLst>
            <a:outerShdw blurRad="57150" dist="19050" dir="5400000" algn="ctr" rotWithShape="0">
              <a:srgbClr val="000000">
                <a:alpha val="63000"/>
              </a:srgbClr>
            </a:outerShdw>
          </a:effectLst>
        </c:spPr>
      </c:pivotFmt>
    </c:pivotFmts>
    <c:plotArea>
      <c:layout/>
      <c:barChart>
        <c:barDir val="bar"/>
        <c:grouping val="clustered"/>
        <c:varyColors val="0"/>
        <c:ser>
          <c:idx val="0"/>
          <c:order val="0"/>
          <c:tx>
            <c:strRef>
              <c:f>'Pivot Table'!$F$22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rgbClr val="FFC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B45-40D6-9994-FA0A4C73B07A}"/>
              </c:ext>
            </c:extLst>
          </c:dPt>
          <c:dPt>
            <c:idx val="1"/>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B45-40D6-9994-FA0A4C73B07A}"/>
              </c:ext>
            </c:extLst>
          </c:dPt>
          <c:dPt>
            <c:idx val="2"/>
            <c:invertIfNegative val="0"/>
            <c:bubble3D val="0"/>
            <c:spPr>
              <a:solidFill>
                <a:schemeClr val="bg1">
                  <a:lumMod val="6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B45-40D6-9994-FA0A4C73B07A}"/>
              </c:ext>
            </c:extLst>
          </c:dPt>
          <c:dPt>
            <c:idx val="3"/>
            <c:invertIfNegative val="0"/>
            <c:bubble3D val="0"/>
            <c:spPr>
              <a:solidFill>
                <a:schemeClr val="bg1">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B45-40D6-9994-FA0A4C73B07A}"/>
              </c:ext>
            </c:extLst>
          </c:dPt>
          <c:dPt>
            <c:idx val="4"/>
            <c:invertIfNegative val="0"/>
            <c:bubble3D val="0"/>
            <c:spPr>
              <a:solidFill>
                <a:schemeClr val="bg1">
                  <a:lumMod val="8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B45-40D6-9994-FA0A4C73B07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Table'!$E$23:$E$28</c:f>
              <c:strCache>
                <c:ptCount val="5"/>
                <c:pt idx="0">
                  <c:v>The Classic Deluxe Pizza</c:v>
                </c:pt>
                <c:pt idx="1">
                  <c:v>The Thai Chicken Pizza</c:v>
                </c:pt>
                <c:pt idx="2">
                  <c:v>The Greek Pizza</c:v>
                </c:pt>
                <c:pt idx="3">
                  <c:v>The Four Cheese Pizza</c:v>
                </c:pt>
                <c:pt idx="4">
                  <c:v>The Barbecue Chicken Pizza</c:v>
                </c:pt>
              </c:strCache>
            </c:strRef>
          </c:cat>
          <c:val>
            <c:numRef>
              <c:f>'Pivot Table'!$F$23:$F$28</c:f>
              <c:numCache>
                <c:formatCode>General</c:formatCode>
                <c:ptCount val="5"/>
                <c:pt idx="0">
                  <c:v>459</c:v>
                </c:pt>
                <c:pt idx="1">
                  <c:v>428.5</c:v>
                </c:pt>
                <c:pt idx="2">
                  <c:v>402</c:v>
                </c:pt>
                <c:pt idx="3">
                  <c:v>400.0499999999999</c:v>
                </c:pt>
                <c:pt idx="4">
                  <c:v>342.25</c:v>
                </c:pt>
              </c:numCache>
            </c:numRef>
          </c:val>
          <c:extLst>
            <c:ext xmlns:c16="http://schemas.microsoft.com/office/drawing/2014/chart" uri="{C3380CC4-5D6E-409C-BE32-E72D297353CC}">
              <c16:uniqueId val="{0000000A-8B45-40D6-9994-FA0A4C73B07A}"/>
            </c:ext>
          </c:extLst>
        </c:ser>
        <c:dLbls>
          <c:dLblPos val="outEnd"/>
          <c:showLegendKey val="0"/>
          <c:showVal val="1"/>
          <c:showCatName val="0"/>
          <c:showSerName val="0"/>
          <c:showPercent val="0"/>
          <c:showBubbleSize val="0"/>
        </c:dLbls>
        <c:gapWidth val="115"/>
        <c:overlap val="-20"/>
        <c:axId val="779060848"/>
        <c:axId val="791107072"/>
      </c:barChart>
      <c:catAx>
        <c:axId val="779060848"/>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lt1">
                    <a:lumMod val="85000"/>
                  </a:schemeClr>
                </a:solidFill>
                <a:latin typeface="+mn-lt"/>
                <a:ea typeface="+mn-ea"/>
                <a:cs typeface="+mn-cs"/>
              </a:defRPr>
            </a:pPr>
            <a:endParaRPr lang="en-US"/>
          </a:p>
        </c:txPr>
        <c:crossAx val="791107072"/>
        <c:crosses val="autoZero"/>
        <c:auto val="1"/>
        <c:lblAlgn val="ctr"/>
        <c:lblOffset val="100"/>
        <c:noMultiLvlLbl val="0"/>
      </c:catAx>
      <c:valAx>
        <c:axId val="791107072"/>
        <c:scaling>
          <c:orientation val="minMax"/>
        </c:scaling>
        <c:delete val="1"/>
        <c:axPos val="t"/>
        <c:numFmt formatCode="General" sourceLinked="1"/>
        <c:majorTickMark val="none"/>
        <c:minorTickMark val="none"/>
        <c:tickLblPos val="nextTo"/>
        <c:crossAx val="77906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[داش بورد.xltx]Pivot Table!PivotTable7</c:name>
    <c:fmtId val="2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chemeClr val="accent4"/>
                </a:solidFill>
                <a:effectLst>
                  <a:outerShdw blurRad="50800" dist="38100" dir="5400000" algn="t" rotWithShape="0">
                    <a:prstClr val="black">
                      <a:alpha val="40000"/>
                    </a:prstClr>
                  </a:outerShdw>
                </a:effectLst>
                <a:latin typeface="Algerian" panose="04020705040A02060702" pitchFamily="82" charset="0"/>
              </a:rPr>
              <a:t>Top 10 Best Salling Of Pizza</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bg1">
              <a:lumMod val="65000"/>
            </a:schemeClr>
          </a:soli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lumMod val="85000"/>
                    </a:schemeClr>
                  </a:solidFill>
                  <a:latin typeface="+mn-lt"/>
                  <a:ea typeface="+mn-ea"/>
                  <a:cs typeface="+mn-cs"/>
                </a:defRPr>
              </a:pPr>
              <a:endParaRPr lang="en-US"/>
            </a:p>
          </c:txPr>
          <c:dLblPos val="outEnd"/>
          <c:showLegendKey val="1"/>
          <c:showVal val="1"/>
          <c:showCatName val="0"/>
          <c:showSerName val="0"/>
          <c:showPercent val="0"/>
          <c:showBubbleSize val="0"/>
          <c:separator>, </c:separator>
          <c:extLst>
            <c:ext xmlns:c15="http://schemas.microsoft.com/office/drawing/2012/chart" uri="{CE6537A1-D6FC-4f65-9D91-7224C49458BB}"/>
          </c:extLst>
        </c:dLbl>
      </c:pivotFmt>
      <c:pivotFmt>
        <c:idx val="1"/>
        <c:spPr>
          <a:solidFill>
            <a:srgbClr val="FFC000"/>
          </a:soli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fld id="{962D4790-3782-444F-B104-83B228BC5C4A}" type="VALUE">
                  <a:rPr lang="en-US">
                    <a:solidFill>
                      <a:schemeClr val="accent4"/>
                    </a:solidFill>
                  </a:rPr>
                  <a:pPr>
                    <a:defRPr sz="900" b="0" i="0" u="none" strike="noStrike" kern="1200" baseline="0">
                      <a:solidFill>
                        <a:schemeClr val="dk1"/>
                      </a:solidFill>
                      <a:latin typeface="+mn-lt"/>
                      <a:ea typeface="+mn-ea"/>
                      <a:cs typeface="+mn-cs"/>
                    </a:defRPr>
                  </a:pPr>
                  <a:t>[VALUE]</a:t>
                </a:fld>
                <a:endParaRPr lang="en-US"/>
              </a:p>
            </c:rich>
          </c:tx>
          <c:numFmt formatCode="&quot;$&quot;#,##0" sourceLinked="0"/>
          <c:spPr>
            <a:noFill/>
            <a:ln w="12700" cap="flat" cmpd="sng" algn="ctr">
              <a:no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1"/>
          <c:showVal val="1"/>
          <c:showCatName val="0"/>
          <c:showSerName val="0"/>
          <c:showPercent val="0"/>
          <c:showBubbleSize val="0"/>
          <c:separator>, </c:separator>
          <c:extLst>
            <c:ext xmlns:c15="http://schemas.microsoft.com/office/drawing/2012/chart" uri="{CE6537A1-D6FC-4f65-9D91-7224C49458BB}">
              <c15:dlblFieldTable/>
              <c15:showDataLabelsRange val="0"/>
            </c:ext>
          </c:extLst>
        </c:dLbl>
      </c:pivotFmt>
      <c:pivotFmt>
        <c:idx val="2"/>
        <c:spPr>
          <a:solidFill>
            <a:schemeClr val="bg1">
              <a:lumMod val="65000"/>
            </a:schemeClr>
          </a:solidFill>
          <a:ln>
            <a:noFill/>
          </a:ln>
          <a:effectLst>
            <a:outerShdw blurRad="57150" dist="19050" dir="5400000" algn="ctr" rotWithShape="0">
              <a:srgbClr val="000000">
                <a:alpha val="63000"/>
              </a:srgbClr>
            </a:outerShdw>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lumMod val="85000"/>
                    </a:schemeClr>
                  </a:solidFill>
                  <a:latin typeface="+mn-lt"/>
                  <a:ea typeface="+mn-ea"/>
                  <a:cs typeface="+mn-cs"/>
                </a:defRPr>
              </a:pPr>
              <a:endParaRPr lang="en-US"/>
            </a:p>
          </c:txPr>
          <c:dLblPos val="outEnd"/>
          <c:showLegendKey val="1"/>
          <c:showVal val="1"/>
          <c:showCatName val="0"/>
          <c:showSerName val="0"/>
          <c:showPercent val="0"/>
          <c:showBubbleSize val="0"/>
          <c:separator>, </c:separator>
          <c:extLst>
            <c:ext xmlns:c15="http://schemas.microsoft.com/office/drawing/2012/chart" uri="{CE6537A1-D6FC-4f65-9D91-7224C49458BB}"/>
          </c:extLst>
        </c:dLbl>
      </c:pivotFmt>
      <c:pivotFmt>
        <c:idx val="3"/>
        <c:spPr>
          <a:solidFill>
            <a:srgbClr val="FFC000"/>
          </a:soli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fld id="{962D4790-3782-444F-B104-83B228BC5C4A}" type="VALUE">
                  <a:rPr lang="en-US">
                    <a:solidFill>
                      <a:schemeClr val="accent4"/>
                    </a:solidFill>
                  </a:rPr>
                  <a:pPr>
                    <a:defRPr sz="900" b="0" i="0" u="none" strike="noStrike" kern="1200" baseline="0">
                      <a:solidFill>
                        <a:schemeClr val="dk1"/>
                      </a:solidFill>
                      <a:latin typeface="+mn-lt"/>
                      <a:ea typeface="+mn-ea"/>
                      <a:cs typeface="+mn-cs"/>
                    </a:defRPr>
                  </a:pPr>
                  <a:t>[VALUE]</a:t>
                </a:fld>
                <a:endParaRPr lang="en-US"/>
              </a:p>
            </c:rich>
          </c:tx>
          <c:numFmt formatCode="&quot;$&quot;#,##0" sourceLinked="0"/>
          <c:spPr>
            <a:noFill/>
            <a:ln w="12700" cap="flat" cmpd="sng" algn="ctr">
              <a:no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1"/>
          <c:showVal val="1"/>
          <c:showCatName val="0"/>
          <c:showSerName val="0"/>
          <c:showPercent val="0"/>
          <c:showBubbleSize val="0"/>
          <c:separator>, </c:separator>
          <c:extLst>
            <c:ext xmlns:c15="http://schemas.microsoft.com/office/drawing/2012/chart" uri="{CE6537A1-D6FC-4f65-9D91-7224C49458BB}">
              <c15:dlblFieldTable/>
              <c15:showDataLabelsRange val="0"/>
            </c:ext>
          </c:extLst>
        </c:dLbl>
      </c:pivotFmt>
      <c:pivotFmt>
        <c:idx val="4"/>
        <c:spPr>
          <a:solidFill>
            <a:schemeClr val="bg1">
              <a:lumMod val="65000"/>
            </a:schemeClr>
          </a:solidFill>
          <a:ln>
            <a:noFill/>
          </a:ln>
          <a:effectLst>
            <a:outerShdw blurRad="57150" dist="19050" dir="5400000" algn="ctr" rotWithShape="0">
              <a:srgbClr val="000000">
                <a:alpha val="63000"/>
              </a:srgbClr>
            </a:outerShdw>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lumMod val="85000"/>
                    </a:schemeClr>
                  </a:solidFill>
                  <a:latin typeface="+mn-lt"/>
                  <a:ea typeface="+mn-ea"/>
                  <a:cs typeface="+mn-cs"/>
                </a:defRPr>
              </a:pPr>
              <a:endParaRPr lang="en-US"/>
            </a:p>
          </c:txPr>
          <c:dLblPos val="outEnd"/>
          <c:showLegendKey val="1"/>
          <c:showVal val="1"/>
          <c:showCatName val="0"/>
          <c:showSerName val="0"/>
          <c:showPercent val="0"/>
          <c:showBubbleSize val="0"/>
          <c:separator>, </c:separator>
          <c:extLst>
            <c:ext xmlns:c15="http://schemas.microsoft.com/office/drawing/2012/chart" uri="{CE6537A1-D6FC-4f65-9D91-7224C49458BB}"/>
          </c:extLst>
        </c:dLbl>
      </c:pivotFmt>
      <c:pivotFmt>
        <c:idx val="5"/>
        <c:spPr>
          <a:solidFill>
            <a:srgbClr val="FFC000"/>
          </a:soli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fld id="{962D4790-3782-444F-B104-83B228BC5C4A}" type="VALUE">
                  <a:rPr lang="en-US">
                    <a:solidFill>
                      <a:schemeClr val="accent4"/>
                    </a:solidFill>
                  </a:rPr>
                  <a:pPr>
                    <a:defRPr>
                      <a:solidFill>
                        <a:schemeClr val="dk1"/>
                      </a:solidFill>
                    </a:defRPr>
                  </a:pPr>
                  <a:t>[VALUE]</a:t>
                </a:fld>
                <a:endParaRPr lang="en-US"/>
              </a:p>
            </c:rich>
          </c:tx>
          <c:numFmt formatCode="&quot;$&quot;#,##0" sourceLinked="0"/>
          <c:spPr>
            <a:noFill/>
            <a:ln w="12700" cap="flat" cmpd="sng" algn="ctr">
              <a:no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1"/>
          <c:showVal val="1"/>
          <c:showCatName val="0"/>
          <c:showSerName val="0"/>
          <c:showPercent val="0"/>
          <c:showBubbleSize val="0"/>
          <c:separator>, </c:separator>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'Pivot Table'!$F$32</c:f>
              <c:strCache>
                <c:ptCount val="1"/>
                <c:pt idx="0">
                  <c:v>Total</c:v>
                </c:pt>
              </c:strCache>
            </c:strRef>
          </c:tx>
          <c:spPr>
            <a:solidFill>
              <a:schemeClr val="bg1">
                <a:lumMod val="65000"/>
              </a:schemeClr>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FFC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DE5-4490-B992-63B0F13501E0}"/>
              </c:ext>
            </c:extLst>
          </c:dPt>
          <c:dLbls>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fld id="{962D4790-3782-444F-B104-83B228BC5C4A}" type="VALUE">
                      <a:rPr lang="en-US">
                        <a:solidFill>
                          <a:schemeClr val="accent4"/>
                        </a:solidFill>
                      </a:rPr>
                      <a:pPr>
                        <a:defRPr>
                          <a:solidFill>
                            <a:schemeClr val="dk1"/>
                          </a:solidFill>
                        </a:defRPr>
                      </a:pPr>
                      <a:t>[VALUE]</a:t>
                    </a:fld>
                    <a:endParaRPr lang="en-US"/>
                  </a:p>
                </c:rich>
              </c:tx>
              <c:numFmt formatCode="&quot;$&quot;#,##0" sourceLinked="0"/>
              <c:spPr>
                <a:noFill/>
                <a:ln w="12700" cap="flat" cmpd="sng" algn="ctr">
                  <a:no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1"/>
              <c:showVal val="1"/>
              <c:showCatName val="0"/>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1-CDE5-4490-B992-63B0F13501E0}"/>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lumMod val="85000"/>
                      </a:schemeClr>
                    </a:solidFill>
                    <a:latin typeface="+mn-lt"/>
                    <a:ea typeface="+mn-ea"/>
                    <a:cs typeface="+mn-cs"/>
                  </a:defRPr>
                </a:pPr>
                <a:endParaRPr lang="en-US"/>
              </a:p>
            </c:txPr>
            <c:dLblPos val="outEnd"/>
            <c:showLegendKey val="1"/>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Table'!$E$33:$E$43</c:f>
              <c:strCache>
                <c:ptCount val="10"/>
                <c:pt idx="0">
                  <c:v>The Classic Deluxe Pizza</c:v>
                </c:pt>
                <c:pt idx="1">
                  <c:v>The Four Cheese Pizza</c:v>
                </c:pt>
                <c:pt idx="2">
                  <c:v>The Thai Chicken Pizza</c:v>
                </c:pt>
                <c:pt idx="3">
                  <c:v>The Greek Pizza</c:v>
                </c:pt>
                <c:pt idx="4">
                  <c:v>The Barbecue Chicken Pizza</c:v>
                </c:pt>
                <c:pt idx="5">
                  <c:v>The Sicilian Pizza</c:v>
                </c:pt>
                <c:pt idx="6">
                  <c:v>The Mexicana Pizza</c:v>
                </c:pt>
                <c:pt idx="7">
                  <c:v>The Pepperoni Pizza</c:v>
                </c:pt>
                <c:pt idx="8">
                  <c:v>The Southwest Chicken Pizza</c:v>
                </c:pt>
                <c:pt idx="9">
                  <c:v>The Spicy Italian Pizza</c:v>
                </c:pt>
              </c:strCache>
            </c:strRef>
          </c:cat>
          <c:val>
            <c:numRef>
              <c:f>'Pivot Table'!$F$33:$F$43</c:f>
              <c:numCache>
                <c:formatCode>General</c:formatCode>
                <c:ptCount val="10"/>
                <c:pt idx="0">
                  <c:v>459</c:v>
                </c:pt>
                <c:pt idx="1">
                  <c:v>432.74999999999989</c:v>
                </c:pt>
                <c:pt idx="2">
                  <c:v>428.5</c:v>
                </c:pt>
                <c:pt idx="3">
                  <c:v>402</c:v>
                </c:pt>
                <c:pt idx="4">
                  <c:v>383.75</c:v>
                </c:pt>
                <c:pt idx="5">
                  <c:v>341.5</c:v>
                </c:pt>
                <c:pt idx="6">
                  <c:v>330.75</c:v>
                </c:pt>
                <c:pt idx="7">
                  <c:v>327.75</c:v>
                </c:pt>
                <c:pt idx="8">
                  <c:v>325.5</c:v>
                </c:pt>
                <c:pt idx="9">
                  <c:v>302.75</c:v>
                </c:pt>
              </c:numCache>
            </c:numRef>
          </c:val>
          <c:extLst>
            <c:ext xmlns:c16="http://schemas.microsoft.com/office/drawing/2014/chart" uri="{C3380CC4-5D6E-409C-BE32-E72D297353CC}">
              <c16:uniqueId val="{00000002-CDE5-4490-B992-63B0F13501E0}"/>
            </c:ext>
          </c:extLst>
        </c:ser>
        <c:dLbls>
          <c:showLegendKey val="0"/>
          <c:showVal val="0"/>
          <c:showCatName val="0"/>
          <c:showSerName val="0"/>
          <c:showPercent val="0"/>
          <c:showBubbleSize val="0"/>
        </c:dLbls>
        <c:gapWidth val="45"/>
        <c:overlap val="-10"/>
        <c:axId val="778034384"/>
        <c:axId val="791125312"/>
      </c:barChart>
      <c:catAx>
        <c:axId val="778034384"/>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crossAx val="791125312"/>
        <c:crosses val="autoZero"/>
        <c:auto val="1"/>
        <c:lblAlgn val="ctr"/>
        <c:lblOffset val="100"/>
        <c:noMultiLvlLbl val="0"/>
      </c:catAx>
      <c:valAx>
        <c:axId val="791125312"/>
        <c:scaling>
          <c:orientation val="minMax"/>
        </c:scaling>
        <c:delete val="1"/>
        <c:axPos val="t"/>
        <c:numFmt formatCode="General" sourceLinked="1"/>
        <c:majorTickMark val="none"/>
        <c:minorTickMark val="none"/>
        <c:tickLblPos val="nextTo"/>
        <c:crossAx val="7780343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130629</xdr:colOff>
      <xdr:row>10</xdr:row>
      <xdr:rowOff>37780</xdr:rowOff>
    </xdr:from>
    <xdr:to>
      <xdr:col>6</xdr:col>
      <xdr:colOff>453358</xdr:colOff>
      <xdr:row>24</xdr:row>
      <xdr:rowOff>136391</xdr:rowOff>
    </xdr:to>
    <xdr:graphicFrame macro="">
      <xdr:nvGraphicFramePr>
        <xdr:cNvPr id="3" name="Chart 2">
          <a:extLst>
            <a:ext uri="{FF2B5EF4-FFF2-40B4-BE49-F238E27FC236}">
              <a16:creationId xmlns:a16="http://schemas.microsoft.com/office/drawing/2014/main" id="{BAC58524-D8D0-42E2-BE45-68E83C23A1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130629</xdr:colOff>
      <xdr:row>26</xdr:row>
      <xdr:rowOff>24333</xdr:rowOff>
    </xdr:from>
    <xdr:to>
      <xdr:col>6</xdr:col>
      <xdr:colOff>462323</xdr:colOff>
      <xdr:row>40</xdr:row>
      <xdr:rowOff>69156</xdr:rowOff>
    </xdr:to>
    <xdr:graphicFrame macro="">
      <xdr:nvGraphicFramePr>
        <xdr:cNvPr id="4" name="Chart 3">
          <a:extLst>
            <a:ext uri="{FF2B5EF4-FFF2-40B4-BE49-F238E27FC236}">
              <a16:creationId xmlns:a16="http://schemas.microsoft.com/office/drawing/2014/main" id="{78BAFE76-AA99-4B97-8F0D-0E94D2E876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114300</xdr:colOff>
      <xdr:row>10</xdr:row>
      <xdr:rowOff>38100</xdr:rowOff>
    </xdr:from>
    <xdr:to>
      <xdr:col>17</xdr:col>
      <xdr:colOff>174171</xdr:colOff>
      <xdr:row>24</xdr:row>
      <xdr:rowOff>87086</xdr:rowOff>
    </xdr:to>
    <xdr:graphicFrame macro="">
      <xdr:nvGraphicFramePr>
        <xdr:cNvPr id="5" name="Chart 4">
          <a:extLst>
            <a:ext uri="{FF2B5EF4-FFF2-40B4-BE49-F238E27FC236}">
              <a16:creationId xmlns:a16="http://schemas.microsoft.com/office/drawing/2014/main" id="{8A9EB4B2-5A91-4CBE-B946-B3C50D2963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84364</xdr:colOff>
      <xdr:row>25</xdr:row>
      <xdr:rowOff>85724</xdr:rowOff>
    </xdr:from>
    <xdr:to>
      <xdr:col>17</xdr:col>
      <xdr:colOff>131989</xdr:colOff>
      <xdr:row>40</xdr:row>
      <xdr:rowOff>114300</xdr:rowOff>
    </xdr:to>
    <xdr:graphicFrame macro="">
      <xdr:nvGraphicFramePr>
        <xdr:cNvPr id="6" name="Chart 5">
          <a:extLst>
            <a:ext uri="{FF2B5EF4-FFF2-40B4-BE49-F238E27FC236}">
              <a16:creationId xmlns:a16="http://schemas.microsoft.com/office/drawing/2014/main" id="{9FAFD9AE-C8C8-439F-8907-A27EAA4339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402773</xdr:colOff>
      <xdr:row>10</xdr:row>
      <xdr:rowOff>76199</xdr:rowOff>
    </xdr:from>
    <xdr:to>
      <xdr:col>28</xdr:col>
      <xdr:colOff>391887</xdr:colOff>
      <xdr:row>38</xdr:row>
      <xdr:rowOff>87087</xdr:rowOff>
    </xdr:to>
    <xdr:graphicFrame macro="">
      <xdr:nvGraphicFramePr>
        <xdr:cNvPr id="7" name="Chart 6">
          <a:extLst>
            <a:ext uri="{FF2B5EF4-FFF2-40B4-BE49-F238E27FC236}">
              <a16:creationId xmlns:a16="http://schemas.microsoft.com/office/drawing/2014/main" id="{8E857972-D6F7-48E8-9A85-4BD3276448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29</xdr:col>
      <xdr:colOff>54428</xdr:colOff>
      <xdr:row>13</xdr:row>
      <xdr:rowOff>119743</xdr:rowOff>
    </xdr:from>
    <xdr:to>
      <xdr:col>32</xdr:col>
      <xdr:colOff>163285</xdr:colOff>
      <xdr:row>21</xdr:row>
      <xdr:rowOff>133254</xdr:rowOff>
    </xdr:to>
    <mc:AlternateContent xmlns:mc="http://schemas.openxmlformats.org/markup-compatibility/2006">
      <mc:Choice xmlns:a14="http://schemas.microsoft.com/office/drawing/2010/main" Requires="a14">
        <xdr:graphicFrame macro="">
          <xdr:nvGraphicFramePr>
            <xdr:cNvPr id="8" name="pizza_size (حجم البيتزا)">
              <a:extLst>
                <a:ext uri="{FF2B5EF4-FFF2-40B4-BE49-F238E27FC236}">
                  <a16:creationId xmlns:a16="http://schemas.microsoft.com/office/drawing/2014/main" id="{C9676B00-34AE-437D-BA8B-94456432C432}"/>
                </a:ext>
              </a:extLst>
            </xdr:cNvPr>
            <xdr:cNvGraphicFramePr/>
          </xdr:nvGraphicFramePr>
          <xdr:xfrm>
            <a:off x="0" y="0"/>
            <a:ext cx="0" cy="0"/>
          </xdr:xfrm>
          <a:graphic>
            <a:graphicData uri="http://schemas.microsoft.com/office/drawing/2010/slicer">
              <sle:slicer xmlns:sle="http://schemas.microsoft.com/office/drawing/2010/slicer" name="pizza_size (حجم البيتزا)"/>
            </a:graphicData>
          </a:graphic>
        </xdr:graphicFrame>
      </mc:Choice>
      <mc:Fallback>
        <xdr:sp macro="" textlink="">
          <xdr:nvSpPr>
            <xdr:cNvPr id="0" name=""/>
            <xdr:cNvSpPr>
              <a:spLocks noTextEdit="1"/>
            </xdr:cNvSpPr>
          </xdr:nvSpPr>
          <xdr:spPr>
            <a:xfrm>
              <a:off x="17732828" y="2525486"/>
              <a:ext cx="1937657" cy="14939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533400</xdr:colOff>
      <xdr:row>22</xdr:row>
      <xdr:rowOff>65315</xdr:rowOff>
    </xdr:from>
    <xdr:to>
      <xdr:col>32</xdr:col>
      <xdr:colOff>206829</xdr:colOff>
      <xdr:row>30</xdr:row>
      <xdr:rowOff>75688</xdr:rowOff>
    </xdr:to>
    <mc:AlternateContent xmlns:mc="http://schemas.openxmlformats.org/markup-compatibility/2006">
      <mc:Choice xmlns:a14="http://schemas.microsoft.com/office/drawing/2010/main" Requires="a14">
        <xdr:graphicFrame macro="">
          <xdr:nvGraphicFramePr>
            <xdr:cNvPr id="9" name="pizza_category (فئة البيتزا)">
              <a:extLst>
                <a:ext uri="{FF2B5EF4-FFF2-40B4-BE49-F238E27FC236}">
                  <a16:creationId xmlns:a16="http://schemas.microsoft.com/office/drawing/2014/main" id="{698999DF-E3A5-400C-A378-0DE6EA99D2A1}"/>
                </a:ext>
              </a:extLst>
            </xdr:cNvPr>
            <xdr:cNvGraphicFramePr/>
          </xdr:nvGraphicFramePr>
          <xdr:xfrm>
            <a:off x="0" y="0"/>
            <a:ext cx="0" cy="0"/>
          </xdr:xfrm>
          <a:graphic>
            <a:graphicData uri="http://schemas.microsoft.com/office/drawing/2010/slicer">
              <sle:slicer xmlns:sle="http://schemas.microsoft.com/office/drawing/2010/slicer" name="pizza_category (فئة البيتزا)"/>
            </a:graphicData>
          </a:graphic>
        </xdr:graphicFrame>
      </mc:Choice>
      <mc:Fallback>
        <xdr:sp macro="" textlink="">
          <xdr:nvSpPr>
            <xdr:cNvPr id="0" name=""/>
            <xdr:cNvSpPr>
              <a:spLocks noTextEdit="1"/>
            </xdr:cNvSpPr>
          </xdr:nvSpPr>
          <xdr:spPr>
            <a:xfrm>
              <a:off x="17602200" y="4136572"/>
              <a:ext cx="2111829" cy="14908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533400</xdr:colOff>
      <xdr:row>30</xdr:row>
      <xdr:rowOff>130629</xdr:rowOff>
    </xdr:from>
    <xdr:to>
      <xdr:col>32</xdr:col>
      <xdr:colOff>279700</xdr:colOff>
      <xdr:row>44</xdr:row>
      <xdr:rowOff>6804</xdr:rowOff>
    </xdr:to>
    <mc:AlternateContent xmlns:mc="http://schemas.openxmlformats.org/markup-compatibility/2006">
      <mc:Choice xmlns:a14="http://schemas.microsoft.com/office/drawing/2010/main" Requires="a14">
        <xdr:graphicFrame macro="">
          <xdr:nvGraphicFramePr>
            <xdr:cNvPr id="10" name="order_date (تاريخ الطلب)">
              <a:extLst>
                <a:ext uri="{FF2B5EF4-FFF2-40B4-BE49-F238E27FC236}">
                  <a16:creationId xmlns:a16="http://schemas.microsoft.com/office/drawing/2014/main" id="{2CB6C7A8-EF46-41A9-9877-C58A02C1C2BA}"/>
                </a:ext>
              </a:extLst>
            </xdr:cNvPr>
            <xdr:cNvGraphicFramePr/>
          </xdr:nvGraphicFramePr>
          <xdr:xfrm>
            <a:off x="0" y="0"/>
            <a:ext cx="0" cy="0"/>
          </xdr:xfrm>
          <a:graphic>
            <a:graphicData uri="http://schemas.microsoft.com/office/drawing/2010/slicer">
              <sle:slicer xmlns:sle="http://schemas.microsoft.com/office/drawing/2010/slicer" name="order_date (تاريخ الطلب)"/>
            </a:graphicData>
          </a:graphic>
        </xdr:graphicFrame>
      </mc:Choice>
      <mc:Fallback>
        <xdr:sp macro="" textlink="">
          <xdr:nvSpPr>
            <xdr:cNvPr id="0" name=""/>
            <xdr:cNvSpPr>
              <a:spLocks noTextEdit="1"/>
            </xdr:cNvSpPr>
          </xdr:nvSpPr>
          <xdr:spPr>
            <a:xfrm>
              <a:off x="17602200" y="5682343"/>
              <a:ext cx="21847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gabyte HP" refreshedDate="46268.990427777775" createdVersion="8" refreshedVersion="8" minRefreshableVersion="3" recordCount="499" xr:uid="{F9B50D4B-735B-41AC-9D3C-6A38F2DA2BE4}">
  <cacheSource type="worksheet">
    <worksheetSource ref="A1:L500" sheet="Data"/>
  </cacheSource>
  <cacheFields count="15">
    <cacheField name="order_id (رقم الطلب)" numFmtId="0">
      <sharedItems containsSemiMixedTypes="0" containsString="0" containsNumber="1" containsInteger="1" minValue="1" maxValue="499" count="499">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sharedItems>
    </cacheField>
    <cacheField name="pizza_id (رقم البيتزا)" numFmtId="0">
      <sharedItems/>
    </cacheField>
    <cacheField name="Customer Name (اسم العميل)" numFmtId="0">
      <sharedItems/>
    </cacheField>
    <cacheField name="quantity (الكمية)" numFmtId="0">
      <sharedItems containsSemiMixedTypes="0" containsString="0" containsNumber="1" containsInteger="1" minValue="1" maxValue="4"/>
    </cacheField>
    <cacheField name="order_date (تاريخ الطلب)" numFmtId="0">
      <sharedItems containsDate="1" containsMixedTypes="1" minDate="2015-01-01T00:00:00" maxDate="2015-12-13T00:00:00" count="261">
        <d v="2015-01-01T00:00:00"/>
        <d v="2015-03-01T00:00:00"/>
        <d v="2015-06-01T00:00:00"/>
        <d v="2015-08-01T00:00:00"/>
        <d v="2015-10-01T00:00:00"/>
        <d v="2015-11-01T00:00:00"/>
        <d v="2015-12-01T00:00:00"/>
        <s v="1/13/2015"/>
        <s v="1/14/2015"/>
        <s v="1/16/2015"/>
        <s v="1/17/2015"/>
        <s v="1/18/2015"/>
        <s v="1/19/2015"/>
        <s v="1/21/2015"/>
        <s v="1/22/2015"/>
        <s v="1/23/2015"/>
        <s v="1/24/2015"/>
        <s v="1/25/2015"/>
        <s v="1/26/2015"/>
        <s v="1/27/2015"/>
        <s v="1/28/2015"/>
        <s v="1/29/2015"/>
        <s v="1/30/2015"/>
        <d v="2015-01-02T00:00:00"/>
        <d v="2015-02-02T00:00:00"/>
        <d v="2015-03-02T00:00:00"/>
        <d v="2015-05-02T00:00:00"/>
        <d v="2015-06-02T00:00:00"/>
        <d v="2015-07-02T00:00:00"/>
        <d v="2015-08-02T00:00:00"/>
        <d v="2015-09-02T00:00:00"/>
        <d v="2015-12-02T00:00:00"/>
        <s v="2/13/2015"/>
        <s v="2/14/2015"/>
        <s v="2/15/2015"/>
        <s v="2/17/2015"/>
        <s v="2/18/2015"/>
        <s v="2/19/2015"/>
        <s v="2/24/2015"/>
        <s v="2/26/2015"/>
        <s v="2/27/2015"/>
        <s v="2/28/2015"/>
        <d v="2015-01-03T00:00:00"/>
        <d v="2015-03-03T00:00:00"/>
        <d v="2015-04-03T00:00:00"/>
        <d v="2015-05-03T00:00:00"/>
        <d v="2015-06-03T00:00:00"/>
        <d v="2015-07-03T00:00:00"/>
        <d v="2015-09-03T00:00:00"/>
        <d v="2015-11-03T00:00:00"/>
        <s v="3/13/2015"/>
        <s v="3/14/2015"/>
        <s v="3/15/2015"/>
        <s v="3/16/2015"/>
        <s v="3/17/2015"/>
        <s v="3/23/2015"/>
        <s v="3/27/2015"/>
        <s v="3/28/2015"/>
        <s v="3/29/2015"/>
        <s v="3/30/2015"/>
        <s v="3/31/2015"/>
        <d v="2015-01-04T00:00:00"/>
        <d v="2015-02-04T00:00:00"/>
        <d v="2015-04-04T00:00:00"/>
        <d v="2015-06-04T00:00:00"/>
        <d v="2015-08-04T00:00:00"/>
        <d v="2015-09-04T00:00:00"/>
        <d v="2015-11-04T00:00:00"/>
        <d v="2015-12-04T00:00:00"/>
        <s v="4/13/2015"/>
        <s v="4/14/2015"/>
        <s v="4/16/2015"/>
        <s v="4/17/2015"/>
        <s v="4/19/2015"/>
        <s v="4/21/2015"/>
        <s v="4/23/2015"/>
        <s v="4/24/2015"/>
        <s v="4/26/2015"/>
        <s v="4/29/2015"/>
        <d v="2015-01-05T00:00:00"/>
        <d v="2015-05-05T00:00:00"/>
        <d v="2015-06-05T00:00:00"/>
        <d v="2015-08-05T00:00:00"/>
        <d v="2015-09-05T00:00:00"/>
        <d v="2015-10-05T00:00:00"/>
        <d v="2015-11-05T00:00:00"/>
        <d v="2015-12-05T00:00:00"/>
        <s v="5/14/2015"/>
        <s v="5/15/2015"/>
        <s v="5/17/2015"/>
        <s v="5/18/2015"/>
        <s v="5/19/2015"/>
        <s v="5/20/2015"/>
        <s v="5/21/2015"/>
        <s v="5/22/2015"/>
        <s v="5/25/2015"/>
        <s v="5/26/2015"/>
        <s v="5/27/2015"/>
        <s v="5/29/2015"/>
        <s v="5/31/2015"/>
        <d v="2015-01-06T00:00:00"/>
        <d v="2015-02-06T00:00:00"/>
        <d v="2015-03-06T00:00:00"/>
        <d v="2015-05-06T00:00:00"/>
        <d v="2015-06-06T00:00:00"/>
        <d v="2015-09-06T00:00:00"/>
        <d v="2015-10-06T00:00:00"/>
        <d v="2015-12-06T00:00:00"/>
        <s v="6/13/2015"/>
        <s v="6/14/2015"/>
        <s v="6/15/2015"/>
        <s v="6/16/2015"/>
        <s v="6/17/2015"/>
        <s v="6/18/2015"/>
        <s v="6/20/2015"/>
        <s v="6/21/2015"/>
        <s v="6/23/2015"/>
        <s v="6/24/2015"/>
        <s v="6/25/2015"/>
        <s v="6/27/2015"/>
        <s v="6/28/2015"/>
        <s v="6/29/2015"/>
        <s v="6/30/2015"/>
        <d v="2015-02-07T00:00:00"/>
        <d v="2015-03-07T00:00:00"/>
        <d v="2015-04-07T00:00:00"/>
        <d v="2015-05-07T00:00:00"/>
        <d v="2015-07-07T00:00:00"/>
        <d v="2015-10-07T00:00:00"/>
        <d v="2015-11-07T00:00:00"/>
        <s v="7/14/2015"/>
        <s v="7/15/2015"/>
        <s v="7/16/2015"/>
        <s v="7/17/2015"/>
        <s v="7/18/2015"/>
        <s v="7/19/2015"/>
        <s v="7/20/2015"/>
        <s v="7/21/2015"/>
        <s v="7/22/2015"/>
        <s v="7/23/2015"/>
        <s v="7/24/2015"/>
        <s v="7/25/2015"/>
        <s v="7/26/2015"/>
        <s v="7/27/2015"/>
        <s v="7/29/2015"/>
        <s v="7/30/2015"/>
        <s v="7/31/2015"/>
        <d v="2015-02-08T00:00:00"/>
        <d v="2015-03-08T00:00:00"/>
        <d v="2015-05-08T00:00:00"/>
        <d v="2015-06-08T00:00:00"/>
        <d v="2015-07-08T00:00:00"/>
        <d v="2015-08-08T00:00:00"/>
        <d v="2015-09-08T00:00:00"/>
        <d v="2015-10-08T00:00:00"/>
        <d v="2015-11-08T00:00:00"/>
        <d v="2015-12-08T00:00:00"/>
        <s v="8/13/2015"/>
        <s v="8/14/2015"/>
        <s v="8/15/2015"/>
        <s v="8/16/2015"/>
        <s v="8/17/2015"/>
        <s v="8/20/2015"/>
        <s v="8/21/2015"/>
        <s v="8/22/2015"/>
        <s v="8/23/2015"/>
        <s v="8/25/2015"/>
        <s v="8/27/2015"/>
        <s v="8/28/2015"/>
        <s v="8/30/2015"/>
        <s v="8/31/2015"/>
        <d v="2015-01-09T00:00:00"/>
        <d v="2015-03-09T00:00:00"/>
        <d v="2015-04-09T00:00:00"/>
        <d v="2015-05-09T00:00:00"/>
        <d v="2015-06-09T00:00:00"/>
        <d v="2015-07-09T00:00:00"/>
        <d v="2015-08-09T00:00:00"/>
        <d v="2015-10-09T00:00:00"/>
        <d v="2015-11-09T00:00:00"/>
        <d v="2015-12-09T00:00:00"/>
        <s v="9/13/2015"/>
        <s v="9/15/2015"/>
        <s v="9/16/2015"/>
        <s v="9/17/2015"/>
        <s v="9/18/2015"/>
        <s v="9/19/2015"/>
        <s v="9/21/2015"/>
        <s v="9/26/2015"/>
        <s v="9/27/2015"/>
        <s v="9/28/2015"/>
        <s v="9/29/2015"/>
        <s v="9/30/2015"/>
        <d v="2015-01-10T00:00:00"/>
        <d v="2015-02-10T00:00:00"/>
        <d v="2015-03-10T00:00:00"/>
        <d v="2015-04-10T00:00:00"/>
        <d v="2015-07-10T00:00:00"/>
        <d v="2015-08-10T00:00:00"/>
        <d v="2015-09-10T00:00:00"/>
        <d v="2015-10-10T00:00:00"/>
        <s v="10/13/2015"/>
        <s v="10/14/2015"/>
        <s v="10/15/2015"/>
        <s v="10/16/2015"/>
        <s v="10/17/2015"/>
        <s v="10/18/2015"/>
        <s v="10/20/2015"/>
        <s v="10/21/2015"/>
        <s v="10/22/2015"/>
        <s v="10/23/2015"/>
        <s v="10/24/2015"/>
        <s v="10/25/2015"/>
        <s v="10/27/2015"/>
        <s v="10/28/2015"/>
        <s v="10/29/2015"/>
        <s v="10/30/2015"/>
        <d v="2015-01-11T00:00:00"/>
        <d v="2015-02-11T00:00:00"/>
        <d v="2015-03-11T00:00:00"/>
        <d v="2015-06-11T00:00:00"/>
        <d v="2015-07-11T00:00:00"/>
        <d v="2015-08-11T00:00:00"/>
        <d v="2015-09-11T00:00:00"/>
        <d v="2015-10-11T00:00:00"/>
        <d v="2015-12-11T00:00:00"/>
        <s v="11/13/2015"/>
        <s v="11/14/2015"/>
        <s v="11/15/2015"/>
        <s v="11/16/2015"/>
        <s v="11/18/2015"/>
        <s v="11/19/2015"/>
        <s v="11/20/2015"/>
        <s v="11/21/2015"/>
        <s v="11/22/2015"/>
        <s v="11/26/2015"/>
        <s v="11/27/2015"/>
        <s v="11/29/2015"/>
        <s v="11/30/2015"/>
        <d v="2015-01-12T00:00:00"/>
        <d v="2015-02-12T00:00:00"/>
        <d v="2015-03-12T00:00:00"/>
        <d v="2015-04-12T00:00:00"/>
        <d v="2015-07-12T00:00:00"/>
        <d v="2015-08-12T00:00:00"/>
        <d v="2015-09-12T00:00:00"/>
        <d v="2015-10-12T00:00:00"/>
        <d v="2015-11-12T00:00:00"/>
        <d v="2015-12-12T00:00:00"/>
        <s v="12/13/2015"/>
        <s v="12/14/2015"/>
        <s v="12/15/2015"/>
        <s v="12/16/2015"/>
        <s v="12/17/2015"/>
        <s v="12/18/2015"/>
        <s v="12/19/2015"/>
        <s v="12/20/2015"/>
        <s v="12/21/2015"/>
        <s v="12/22/2015"/>
        <s v="12/23/2015"/>
        <s v="12/28/2015"/>
      </sharedItems>
    </cacheField>
    <cacheField name="order_time (وقت الطلب)" numFmtId="19">
      <sharedItems containsSemiMixedTypes="0" containsNonDate="0" containsDate="1" containsString="0" minDate="1899-12-30T11:17:26" maxDate="1899-12-30T23:05:17" count="485">
        <d v="1899-12-30T11:57:40"/>
        <d v="1899-12-30T13:02:59"/>
        <d v="1899-12-30T19:30:40"/>
        <d v="1899-12-30T21:47:48"/>
        <d v="1899-12-30T15:18:26"/>
        <d v="1899-12-30T17:25:58"/>
        <d v="1899-12-30T15:33:13"/>
        <d v="1899-12-30T14:33:19"/>
        <d v="1899-12-30T19:58:15"/>
        <d v="1899-12-30T19:52:49"/>
        <d v="1899-12-30T12:01:23"/>
        <d v="1899-12-30T13:36:53"/>
        <d v="1899-12-30T20:08:08"/>
        <d v="1899-12-30T12:30:09"/>
        <d v="1899-12-30T16:14:59"/>
        <d v="1899-12-30T19:03:46"/>
        <d v="1899-12-30T22:13:59"/>
        <d v="1899-12-30T18:10:50"/>
        <d v="1899-12-30T11:57:17"/>
        <d v="1899-12-30T19:59:17"/>
        <d v="1899-12-30T12:38:38"/>
        <d v="1899-12-30T19:02:27"/>
        <d v="1899-12-30T12:59:26"/>
        <d v="1899-12-30T16:05:24"/>
        <d v="1899-12-30T18:50:51"/>
        <d v="1899-12-30T13:35:53"/>
        <d v="1899-12-30T14:55:06"/>
        <d v="1899-12-30T13:38:50"/>
        <d v="1899-12-30T18:33:59"/>
        <d v="1899-12-30T12:16:39"/>
        <d v="1899-12-30T13:33:16"/>
        <d v="1899-12-30T13:36:52"/>
        <d v="1899-12-30T12:20:46"/>
        <d v="1899-12-30T12:43:50"/>
        <d v="1899-12-30T16:15:40"/>
        <d v="1899-12-30T16:14:14"/>
        <d v="1899-12-30T17:13:15"/>
        <d v="1899-12-30T20:10:24"/>
        <d v="1899-12-30T14:01:18"/>
        <d v="1899-12-30T18:41:54"/>
        <d v="1899-12-30T17:22:30"/>
        <d v="1899-12-30T17:57:15"/>
        <d v="1899-12-30T12:10:20"/>
        <d v="1899-12-30T17:19:00"/>
        <d v="1899-12-30T14:00:40"/>
        <d v="1899-12-30T19:09:56"/>
        <d v="1899-12-30T17:07:10"/>
        <d v="1899-12-30T18:54:29"/>
        <d v="1899-12-30T19:35:46"/>
        <d v="1899-12-30T21:08:21"/>
        <d v="1899-12-30T17:29:20"/>
        <d v="1899-12-30T14:16:57"/>
        <d v="1899-12-30T19:26:46"/>
        <d v="1899-12-30T13:00:48"/>
        <d v="1899-12-30T13:51:14"/>
        <d v="1899-12-30T18:00:30"/>
        <d v="1899-12-30T13:13:54"/>
        <d v="1899-12-30T19:57:23"/>
        <d v="1899-12-30T17:38:20"/>
        <d v="1899-12-30T18:05:09"/>
        <d v="1899-12-30T19:25:04"/>
        <d v="1899-12-30T18:45:28"/>
        <d v="1899-12-30T18:35:20"/>
        <d v="1899-12-30T21:06:54"/>
        <d v="1899-12-30T23:05:17"/>
        <d v="1899-12-30T18:17:40"/>
        <d v="1899-12-30T15:05:02"/>
        <d v="1899-12-30T17:52:09"/>
        <d v="1899-12-30T12:30:24"/>
        <d v="1899-12-30T14:39:18"/>
        <d v="1899-12-30T17:30:54"/>
        <d v="1899-12-30T13:48:02"/>
        <d v="1899-12-30T16:47:39"/>
        <d v="1899-12-30T18:45:53"/>
        <d v="1899-12-30T14:05:48"/>
        <d v="1899-12-30T21:35:22"/>
        <d v="1899-12-30T12:43:20"/>
        <d v="1899-12-30T17:54:30"/>
        <d v="1899-12-30T19:24:05"/>
        <d v="1899-12-30T14:12:12"/>
        <d v="1899-12-30T16:00:44"/>
        <d v="1899-12-30T16:38:07"/>
        <d v="1899-12-30T18:29:04"/>
        <d v="1899-12-30T19:12:14"/>
        <d v="1899-12-30T19:47:28"/>
        <d v="1899-12-30T11:43:47"/>
        <d v="1899-12-30T13:57:38"/>
        <d v="1899-12-30T19:50:49"/>
        <d v="1899-12-30T18:16:47"/>
        <d v="1899-12-30T18:19:24"/>
        <d v="1899-12-30T14:48:02"/>
        <d v="1899-12-30T12:38:11"/>
        <d v="1899-12-30T16:56:04"/>
        <d v="1899-12-30T12:48:46"/>
        <d v="1899-12-30T22:05:04"/>
        <d v="1899-12-30T19:29:17"/>
        <d v="1899-12-30T19:22:17"/>
        <d v="1899-12-30T12:39:43"/>
        <d v="1899-12-30T11:17:26"/>
        <d v="1899-12-30T13:25:16"/>
        <d v="1899-12-30T16:52:56"/>
        <d v="1899-12-30T17:08:13"/>
        <d v="1899-12-30T17:28:26"/>
        <d v="1899-12-30T11:46:08"/>
        <d v="1899-12-30T11:56:03"/>
        <d v="1899-12-30T16:26:34"/>
        <d v="1899-12-30T16:31:58"/>
        <d v="1899-12-30T21:40:38"/>
        <d v="1899-12-30T21:54:53"/>
        <d v="1899-12-30T22:07:54"/>
        <d v="1899-12-30T11:58:58"/>
        <d v="1899-12-30T11:46:24"/>
        <d v="1899-12-30T13:14:51"/>
        <d v="1899-12-30T20:56:37"/>
        <d v="1899-12-30T11:25:39"/>
        <d v="1899-12-30T18:40:57"/>
        <d v="1899-12-30T19:15:37"/>
        <d v="1899-12-30T13:56:42"/>
        <d v="1899-12-30T14:59:17"/>
        <d v="1899-12-30T17:20:28"/>
        <d v="1899-12-30T15:59:32"/>
        <d v="1899-12-30T14:50:58"/>
        <d v="1899-12-30T17:14:03"/>
        <d v="1899-12-30T17:55:42"/>
        <d v="1899-12-30T12:32:10"/>
        <d v="1899-12-30T14:28:10"/>
        <d v="1899-12-30T12:08:51"/>
        <d v="1899-12-30T13:00:34"/>
        <d v="1899-12-30T15:54:56"/>
        <d v="1899-12-30T19:28:53"/>
        <d v="1899-12-30T13:10:00"/>
        <d v="1899-12-30T17:09:42"/>
        <d v="1899-12-30T16:24:57"/>
        <d v="1899-12-30T12:32:04"/>
        <d v="1899-12-30T17:21:38"/>
        <d v="1899-12-30T15:43:57"/>
        <d v="1899-12-30T17:35:35"/>
        <d v="1899-12-30T18:10:49"/>
        <d v="1899-12-30T15:28:38"/>
        <d v="1899-12-30T16:51:04"/>
        <d v="1899-12-30T17:45:17"/>
        <d v="1899-12-30T17:46:56"/>
        <d v="1899-12-30T17:48:48"/>
        <d v="1899-12-30T20:12:02"/>
        <d v="1899-12-30T17:39:42"/>
        <d v="1899-12-30T18:04:57"/>
        <d v="1899-12-30T19:20:35"/>
        <d v="1899-12-30T13:13:42"/>
        <d v="1899-12-30T18:21:44"/>
        <d v="1899-12-30T13:04:17"/>
        <d v="1899-12-30T13:26:21"/>
        <d v="1899-12-30T13:28:23"/>
        <d v="1899-12-30T15:02:25"/>
        <d v="1899-12-30T20:02:44"/>
        <d v="1899-12-30T20:45:10"/>
        <d v="1899-12-30T21:10:51"/>
        <d v="1899-12-30T13:05:32"/>
        <d v="1899-12-30T11:32:11"/>
        <d v="1899-12-30T13:34:43"/>
        <d v="1899-12-30T15:38:08"/>
        <d v="1899-12-30T12:37:25"/>
        <d v="1899-12-30T13:04:34"/>
        <d v="1899-12-30T20:05:28"/>
        <d v="1899-12-30T15:23:43"/>
        <d v="1899-12-30T15:59:30"/>
        <d v="1899-12-30T17:05:25"/>
        <d v="1899-12-30T18:32:48"/>
        <d v="1899-12-30T22:24:33"/>
        <d v="1899-12-30T14:29:04"/>
        <d v="1899-12-30T17:34:06"/>
        <d v="1899-12-30T17:59:03"/>
        <d v="1899-12-30T13:44:56"/>
        <d v="1899-12-30T14:03:48"/>
        <d v="1899-12-30T17:35:41"/>
        <d v="1899-12-30T11:37:40"/>
        <d v="1899-12-30T12:08:28"/>
        <d v="1899-12-30T12:20:31"/>
        <d v="1899-12-30T14:35:47"/>
        <d v="1899-12-30T16:03:29"/>
        <d v="1899-12-30T15:12:34"/>
        <d v="1899-12-30T20:07:16"/>
        <d v="1899-12-30T16:59:08"/>
        <d v="1899-12-30T19:06:46"/>
        <d v="1899-12-30T21:05:28"/>
        <d v="1899-12-30T12:43:48"/>
        <d v="1899-12-30T14:03:08"/>
        <d v="1899-12-30T17:47:42"/>
        <d v="1899-12-30T18:30:00"/>
        <d v="1899-12-30T12:06:00"/>
        <d v="1899-12-30T15:52:38"/>
        <d v="1899-12-30T17:12:23"/>
        <d v="1899-12-30T17:01:55"/>
        <d v="1899-12-30T22:29:59"/>
        <d v="1899-12-30T13:58:34"/>
        <d v="1899-12-30T14:37:19"/>
        <d v="1899-12-30T18:19:00"/>
        <d v="1899-12-30T18:06:31"/>
        <d v="1899-12-30T18:37:08"/>
        <d v="1899-12-30T12:39:14"/>
        <d v="1899-12-30T17:27:11"/>
        <d v="1899-12-30T18:52:41"/>
        <d v="1899-12-30T21:52:02"/>
        <d v="1899-12-30T12:59:37"/>
        <d v="1899-12-30T17:28:19"/>
        <d v="1899-12-30T13:11:19"/>
        <d v="1899-12-30T14:22:19"/>
        <d v="1899-12-30T17:19:05"/>
        <d v="1899-12-30T13:51:02"/>
        <d v="1899-12-30T15:37:01"/>
        <d v="1899-12-30T16:55:19"/>
        <d v="1899-12-30T14:36:31"/>
        <d v="1899-12-30T17:22:04"/>
        <d v="1899-12-30T19:43:49"/>
        <d v="1899-12-30T20:42:03"/>
        <d v="1899-12-30T13:43:47"/>
        <d v="1899-12-30T15:06:07"/>
        <d v="1899-12-30T16:15:21"/>
        <d v="1899-12-30T11:57:33"/>
        <d v="1899-12-30T15:05:04"/>
        <d v="1899-12-30T17:47:12"/>
        <d v="1899-12-30T15:10:57"/>
        <d v="1899-12-30T15:40:17"/>
        <d v="1899-12-30T17:34:01"/>
        <d v="1899-12-30T20:51:35"/>
        <d v="1899-12-30T20:48:13"/>
        <d v="1899-12-30T13:31:13"/>
        <d v="1899-12-30T18:21:27"/>
        <d v="1899-12-30T17:12:16"/>
        <d v="1899-12-30T19:10:52"/>
        <d v="1899-12-30T17:18:23"/>
        <d v="1899-12-30T20:17:11"/>
        <d v="1899-12-30T20:26:22"/>
        <d v="1899-12-30T21:22:34"/>
        <d v="1899-12-30T21:26:18"/>
        <d v="1899-12-30T13:15:15"/>
        <d v="1899-12-30T17:40:41"/>
        <d v="1899-12-30T19:49:28"/>
        <d v="1899-12-30T20:03:12"/>
        <d v="1899-12-30T22:30:44"/>
        <d v="1899-12-30T17:36:02"/>
        <d v="1899-12-30T19:41:07"/>
        <d v="1899-12-30T19:40:46"/>
        <d v="1899-12-30T16:07:09"/>
        <d v="1899-12-30T16:33:13"/>
        <d v="1899-12-30T17:21:55"/>
        <d v="1899-12-30T14:15:34"/>
        <d v="1899-12-30T16:25:52"/>
        <d v="1899-12-30T12:18:57"/>
        <d v="1899-12-30T15:01:39"/>
        <d v="1899-12-30T13:55:33"/>
        <d v="1899-12-30T15:57:09"/>
        <d v="1899-12-30T18:42:25"/>
        <d v="1899-12-30T11:50:01"/>
        <d v="1899-12-30T13:07:12"/>
        <d v="1899-12-30T16:26:04"/>
        <d v="1899-12-30T19:26:11"/>
        <d v="1899-12-30T20:00:27"/>
        <d v="1899-12-30T16:53:57"/>
        <d v="1899-12-30T11:57:15"/>
        <d v="1899-12-30T19:32:57"/>
        <d v="1899-12-30T21:11:22"/>
        <d v="1899-12-30T13:35:09"/>
        <d v="1899-12-30T21:20:18"/>
        <d v="1899-12-30T12:53:15"/>
        <d v="1899-12-30T12:03:35"/>
        <d v="1899-12-30T20:07:14"/>
        <d v="1899-12-30T12:14:51"/>
        <d v="1899-12-30T17:13:50"/>
        <d v="1899-12-30T16:22:20"/>
        <d v="1899-12-30T18:58:28"/>
        <d v="1899-12-30T12:38:07"/>
        <d v="1899-12-30T19:06:59"/>
        <d v="1899-12-30T13:46:36"/>
        <d v="1899-12-30T20:42:21"/>
        <d v="1899-12-30T19:04:35"/>
        <d v="1899-12-30T11:43:20"/>
        <d v="1899-12-30T18:38:00"/>
        <d v="1899-12-30T12:01:11"/>
        <d v="1899-12-30T14:13:17"/>
        <d v="1899-12-30T17:33:53"/>
        <d v="1899-12-30T21:01:27"/>
        <d v="1899-12-30T16:20:23"/>
        <d v="1899-12-30T20:13:38"/>
        <d v="1899-12-30T22:29:57"/>
        <d v="1899-12-30T18:31:36"/>
        <d v="1899-12-30T12:36:58"/>
        <d v="1899-12-30T16:11:26"/>
        <d v="1899-12-30T21:23:27"/>
        <d v="1899-12-30T21:33:56"/>
        <d v="1899-12-30T14:07:56"/>
        <d v="1899-12-30T12:35:19"/>
        <d v="1899-12-30T16:49:52"/>
        <d v="1899-12-30T20:18:48"/>
        <d v="1899-12-30T16:44:33"/>
        <d v="1899-12-30T17:14:48"/>
        <d v="1899-12-30T14:42:38"/>
        <d v="1899-12-30T15:47:06"/>
        <d v="1899-12-30T16:44:16"/>
        <d v="1899-12-30T20:18:15"/>
        <d v="1899-12-30T17:01:18"/>
        <d v="1899-12-30T12:17:25"/>
        <d v="1899-12-30T17:26:15"/>
        <d v="1899-12-30T20:20:58"/>
        <d v="1899-12-30T16:26:05"/>
        <d v="1899-12-30T17:30:25"/>
        <d v="1899-12-30T22:18:40"/>
        <d v="1899-12-30T11:38:00"/>
        <d v="1899-12-30T15:10:48"/>
        <d v="1899-12-30T19:01:22"/>
        <d v="1899-12-30T12:53:57"/>
        <d v="1899-12-30T17:29:08"/>
        <d v="1899-12-30T12:48:15"/>
        <d v="1899-12-30T17:22:15"/>
        <d v="1899-12-30T19:28:51"/>
        <d v="1899-12-30T22:12:29"/>
        <d v="1899-12-30T23:04:54"/>
        <d v="1899-12-30T14:38:31"/>
        <d v="1899-12-30T18:26:41"/>
        <d v="1899-12-30T19:58:47"/>
        <d v="1899-12-30T13:11:52"/>
        <d v="1899-12-30T12:32:00"/>
        <d v="1899-12-30T12:45:11"/>
        <d v="1899-12-30T16:14:12"/>
        <d v="1899-12-30T18:55:19"/>
        <d v="1899-12-30T13:30:42"/>
        <d v="1899-12-30T22:22:24"/>
        <d v="1899-12-30T17:24:24"/>
        <d v="1899-12-30T17:52:54"/>
        <d v="1899-12-30T19:59:49"/>
        <d v="1899-12-30T12:42:07"/>
        <d v="1899-12-30T17:27:14"/>
        <d v="1899-12-30T18:10:33"/>
        <d v="1899-12-30T19:08:13"/>
        <d v="1899-12-30T14:29:44"/>
        <d v="1899-12-30T12:36:47"/>
        <d v="1899-12-30T14:11:00"/>
        <d v="1899-12-30T14:32:31"/>
        <d v="1899-12-30T12:16:01"/>
        <d v="1899-12-30T13:36:07"/>
        <d v="1899-12-30T17:37:11"/>
        <d v="1899-12-30T18:37:07"/>
        <d v="1899-12-30T21:33:53"/>
        <d v="1899-12-30T17:50:26"/>
        <d v="1899-12-30T22:10:10"/>
        <d v="1899-12-30T14:29:23"/>
        <d v="1899-12-30T17:59:04"/>
        <d v="1899-12-30T16:19:30"/>
        <d v="1899-12-30T11:48:24"/>
        <d v="1899-12-30T21:02:28"/>
        <d v="1899-12-30T15:07:49"/>
        <d v="1899-12-30T17:48:05"/>
        <d v="1899-12-30T20:05:41"/>
        <d v="1899-12-30T21:01:33"/>
        <d v="1899-12-30T12:54:00"/>
        <d v="1899-12-30T12:40:39"/>
        <d v="1899-12-30T17:57:55"/>
        <d v="1899-12-30T18:17:16"/>
        <d v="1899-12-30T13:01:46"/>
        <d v="1899-12-30T13:17:26"/>
        <d v="1899-12-30T13:36:24"/>
        <d v="1899-12-30T12:38:49"/>
        <d v="1899-12-30T13:47:06"/>
        <d v="1899-12-30T13:58:42"/>
        <d v="1899-12-30T15:45:30"/>
        <d v="1899-12-30T19:10:02"/>
        <d v="1899-12-30T12:27:17"/>
        <d v="1899-12-30T15:18:33"/>
        <d v="1899-12-30T19:30:12"/>
        <d v="1899-12-30T21:00:14"/>
        <d v="1899-12-30T13:25:59"/>
        <d v="1899-12-30T19:03:59"/>
        <d v="1899-12-30T16:07:22"/>
        <d v="1899-12-30T18:21:38"/>
        <d v="1899-12-30T14:03:41"/>
        <d v="1899-12-30T14:16:12"/>
        <d v="1899-12-30T17:52:59"/>
        <d v="1899-12-30T12:44:22"/>
        <d v="1899-12-30T13:42:12"/>
        <d v="1899-12-30T18:44:02"/>
        <d v="1899-12-30T14:57:58"/>
        <d v="1899-12-30T17:37:41"/>
        <d v="1899-12-30T11:37:09"/>
        <d v="1899-12-30T11:26:16"/>
        <d v="1899-12-30T15:23:51"/>
        <d v="1899-12-30T12:17:37"/>
        <d v="1899-12-30T18:09:07"/>
        <d v="1899-12-30T13:23:29"/>
        <d v="1899-12-30T20:17:07"/>
        <d v="1899-12-30T19:39:04"/>
        <d v="1899-12-30T13:07:44"/>
        <d v="1899-12-30T20:14:20"/>
        <d v="1899-12-30T13:32:04"/>
        <d v="1899-12-30T17:34:41"/>
        <d v="1899-12-30T13:32:00"/>
        <d v="1899-12-30T18:31:11"/>
        <d v="1899-12-30T20:10:21"/>
        <d v="1899-12-30T19:32:06"/>
        <d v="1899-12-30T22:25:00"/>
        <d v="1899-12-30T18:58:20"/>
        <d v="1899-12-30T19:57:12"/>
        <d v="1899-12-30T16:41:57"/>
        <d v="1899-12-30T16:52:04"/>
        <d v="1899-12-30T21:47:29"/>
        <d v="1899-12-30T15:26:15"/>
        <d v="1899-12-30T18:11:03"/>
        <d v="1899-12-30T12:14:53"/>
        <d v="1899-12-30T13:48:00"/>
        <d v="1899-12-30T21:42:16"/>
        <d v="1899-12-30T16:45:11"/>
        <d v="1899-12-30T18:05:47"/>
        <d v="1899-12-30T14:49:28"/>
        <d v="1899-12-30T12:27:27"/>
        <d v="1899-12-30T16:19:50"/>
        <d v="1899-12-30T17:38:35"/>
        <d v="1899-12-30T16:47:30"/>
        <d v="1899-12-30T18:20:11"/>
        <d v="1899-12-30T20:45:04"/>
        <d v="1899-12-30T15:38:22"/>
        <d v="1899-12-30T17:58:19"/>
        <d v="1899-12-30T18:56:26"/>
        <d v="1899-12-30T18:00:07"/>
        <d v="1899-12-30T15:15:49"/>
        <d v="1899-12-30T16:28:24"/>
        <d v="1899-12-30T18:53:30"/>
        <d v="1899-12-30T14:46:12"/>
        <d v="1899-12-30T12:13:25"/>
        <d v="1899-12-30T17:56:52"/>
        <d v="1899-12-30T20:12:59"/>
        <d v="1899-12-30T17:57:18"/>
        <d v="1899-12-30T11:45:00"/>
        <d v="1899-12-30T18:21:24"/>
        <d v="1899-12-30T18:19:19"/>
        <d v="1899-12-30T12:21:06"/>
        <d v="1899-12-30T11:47:45"/>
        <d v="1899-12-30T19:15:54"/>
        <d v="1899-12-30T19:22:07"/>
        <d v="1899-12-30T19:08:27"/>
        <d v="1899-12-30T21:28:18"/>
        <d v="1899-12-30T22:01:38"/>
        <d v="1899-12-30T19:23:32"/>
        <d v="1899-12-30T19:45:14"/>
        <d v="1899-12-30T17:02:20"/>
        <d v="1899-12-30T18:03:39"/>
        <d v="1899-12-30T13:47:53"/>
        <d v="1899-12-30T17:49:28"/>
        <d v="1899-12-30T14:18:20"/>
        <d v="1899-12-30T17:57:21"/>
        <d v="1899-12-30T18:00:37"/>
        <d v="1899-12-30T11:54:51"/>
        <d v="1899-12-30T12:53:24"/>
        <d v="1899-12-30T11:30:24"/>
        <d v="1899-12-30T18:32:33"/>
        <d v="1899-12-30T12:54:04"/>
        <d v="1899-12-30T14:56:09"/>
        <d v="1899-12-30T13:52:28"/>
        <d v="1899-12-30T17:02:16"/>
        <d v="1899-12-30T21:47:55"/>
        <d v="1899-12-30T16:57:08"/>
        <d v="1899-12-30T19:56:23"/>
        <d v="1899-12-30T18:09:09"/>
        <d v="1899-12-30T14:22:55"/>
        <d v="1899-12-30T19:30:32"/>
        <d v="1899-12-30T16:46:22"/>
        <d v="1899-12-30T17:09:15"/>
        <d v="1899-12-30T18:34:38"/>
        <d v="1899-12-30T16:03:27"/>
        <d v="1899-12-30T19:13:05"/>
        <d v="1899-12-30T13:46:55"/>
        <d v="1899-12-30T11:52:13"/>
        <d v="1899-12-30T18:16:29"/>
        <d v="1899-12-30T21:20:32"/>
        <d v="1899-12-30T19:02:37"/>
        <d v="1899-12-30T21:15:54"/>
        <d v="1899-12-30T13:21:45"/>
        <d v="1899-12-30T14:45:52"/>
        <d v="1899-12-30T14:56:38"/>
        <d v="1899-12-30T15:39:31"/>
        <d v="1899-12-30T17:19:56"/>
        <d v="1899-12-30T15:37:51"/>
        <d v="1899-12-30T11:42:50"/>
        <d v="1899-12-30T12:15:57"/>
        <d v="1899-12-30T12:31:03"/>
        <d v="1899-12-30T12:54:56"/>
        <d v="1899-12-30T15:28:45"/>
        <d v="1899-12-30T18:12:37"/>
      </sharedItems>
      <fieldGroup par="14"/>
    </cacheField>
    <cacheField name="unit_price (سعر الوحدة)" numFmtId="0">
      <sharedItems containsSemiMixedTypes="0" containsString="0" containsNumber="1" minValue="9.75" maxValue="25.5"/>
    </cacheField>
    <cacheField name="Sales" numFmtId="0">
      <sharedItems containsSemiMixedTypes="0" containsString="0" containsNumber="1" minValue="9.75" maxValue="48"/>
    </cacheField>
    <cacheField name="pizza_size (حجم البيتزا)" numFmtId="0">
      <sharedItems count="4">
        <s v="M"/>
        <s v="L"/>
        <s v="XL"/>
        <s v="S"/>
      </sharedItems>
    </cacheField>
    <cacheField name="pizza_category (فئة البيتزا)" numFmtId="0">
      <sharedItems count="4">
        <s v="Classic"/>
        <s v="Chicken"/>
        <s v="Veggie"/>
        <s v="Supreme"/>
      </sharedItems>
    </cacheField>
    <cacheField name="pizza_ingredients (مكونات البيتزا)" numFmtId="0">
      <sharedItems/>
    </cacheField>
    <cacheField name="pizza_name (اسم البيتزا)" numFmtId="0">
      <sharedItems count="32">
        <s v="The Classic Deluxe Pizza"/>
        <s v="The California Chicken Pizza"/>
        <s v="The Five Cheese Pizza"/>
        <s v="The Soppressata Pizza"/>
        <s v="The Greek Pizza"/>
        <s v="The Pepperoni Pizza"/>
        <s v="The Prosciutto and Arugula Pizza"/>
        <s v="The Italian Supreme Pizza"/>
        <s v="The Mexicana Pizza"/>
        <s v="The Four Cheese Pizza"/>
        <s v="The Spicy Italian Pizza"/>
        <s v="The Italian Vegetables Pizza"/>
        <s v="The Sicilian Pizza"/>
        <s v="The Barbecue Chicken Pizza"/>
        <s v="The Pepper Salami Pizza"/>
        <s v="The Southwest Chicken Pizza"/>
        <s v="The Mediterranean Pizza"/>
        <s v="The Thai Chicken Pizza"/>
        <s v="The Hawaiian Pizza"/>
        <s v="The Vegetables + Vegetables Pizza"/>
        <s v="The Chicken Alfredo Pizza"/>
        <s v="The Chicken Pesto Pizza"/>
        <s v="The Calabrese Pizza"/>
        <s v="The Spinach Pesto Pizza"/>
        <s v="The Big Meat Pizza"/>
        <s v="The Italian Capocollo Pizza"/>
        <s v="The Napolitana Pizza"/>
        <s v="The Green Garden Pizza"/>
        <s v="The Spinach and Feta Pizza"/>
        <s v="The Spinach Supreme Pizza"/>
        <s v="The Pepperoni, Mushroom, and Peppers Pizza"/>
        <s v="The Brie Carre Pizza"/>
      </sharedItems>
    </cacheField>
    <cacheField name="Seconds (order_time (وقت الطلب))" numFmtId="0" databaseField="0">
      <fieldGroup base="5">
        <rangePr groupBy="seconds" startDate="1899-12-30T11:17:26" endDate="1899-12-30T23:05:17"/>
        <groupItems count="62">
          <s v="&lt;00-01-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00"/>
        </groupItems>
      </fieldGroup>
    </cacheField>
    <cacheField name="Minutes (order_time (وقت الطلب))" numFmtId="0" databaseField="0">
      <fieldGroup base="5">
        <rangePr groupBy="minutes" startDate="1899-12-30T11:17:26" endDate="1899-12-30T23:05:17"/>
        <groupItems count="62">
          <s v="&lt;00-01-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00"/>
        </groupItems>
      </fieldGroup>
    </cacheField>
    <cacheField name="Hours (order_time (وقت الطلب))" numFmtId="0" databaseField="0">
      <fieldGroup base="5">
        <rangePr groupBy="hours" startDate="1899-12-30T11:17:26" endDate="1899-12-30T23:05:17"/>
        <groupItems count="26">
          <s v="&lt;00-01-00"/>
          <s v="12 AM"/>
          <s v="1 AM"/>
          <s v="2 AM"/>
          <s v="3 AM"/>
          <s v="4 AM"/>
          <s v="5 AM"/>
          <s v="6 AM"/>
          <s v="7 AM"/>
          <s v="8 AM"/>
          <s v="9 AM"/>
          <s v="10 AM"/>
          <s v="11 AM"/>
          <s v="12 PM"/>
          <s v="1 PM"/>
          <s v="2 PM"/>
          <s v="3 PM"/>
          <s v="4 PM"/>
          <s v="5 PM"/>
          <s v="6 PM"/>
          <s v="7 PM"/>
          <s v="8 PM"/>
          <s v="9 PM"/>
          <s v="10 PM"/>
          <s v="11 PM"/>
          <s v="&gt;00-01-00"/>
        </groupItems>
      </fieldGroup>
    </cacheField>
  </cacheFields>
  <extLst>
    <ext xmlns:x14="http://schemas.microsoft.com/office/spreadsheetml/2009/9/main" uri="{725AE2AE-9491-48be-B2B4-4EB974FC3084}">
      <x14:pivotCacheDefinition pivotCacheId="8567275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9">
  <r>
    <x v="0"/>
    <s v="classic_dlx_m"/>
    <s v="Ashley Turner"/>
    <n v="1"/>
    <x v="0"/>
    <x v="0"/>
    <n v="16"/>
    <n v="16"/>
    <x v="0"/>
    <x v="0"/>
    <s v="Pepperoni, Mushrooms, Red Onions, Red Peppers, Bacon"/>
    <x v="0"/>
  </r>
  <r>
    <x v="1"/>
    <s v="cali_ckn_l"/>
    <s v="Taylor Mitchell"/>
    <n v="1"/>
    <x v="0"/>
    <x v="1"/>
    <n v="20.75"/>
    <n v="20.75"/>
    <x v="1"/>
    <x v="1"/>
    <s v="Chicken, Artichoke, Spinach, Garlic, Jalapeno Peppers, Fontina Cheese, Gouda Cheese"/>
    <x v="1"/>
  </r>
  <r>
    <x v="2"/>
    <s v="five_cheese_l"/>
    <s v="Amanda Clark"/>
    <n v="1"/>
    <x v="0"/>
    <x v="2"/>
    <n v="18.5"/>
    <n v="18.5"/>
    <x v="1"/>
    <x v="2"/>
    <s v="Mozzarella Cheese, Provolone Cheese, Smoked Gouda Cheese, Romano Cheese, Blue Cheese, Garlic"/>
    <x v="2"/>
  </r>
  <r>
    <x v="3"/>
    <s v="soppressata_l"/>
    <s v="Emily Parker"/>
    <n v="1"/>
    <x v="1"/>
    <x v="3"/>
    <n v="20.75"/>
    <n v="20.75"/>
    <x v="1"/>
    <x v="3"/>
    <s v="Soppressata Salami, Fontina Cheese, Mozzarella Cheese, Mushrooms, Garlic"/>
    <x v="3"/>
  </r>
  <r>
    <x v="4"/>
    <s v="the_greek_xl"/>
    <s v="Jacob Wright"/>
    <n v="1"/>
    <x v="2"/>
    <x v="4"/>
    <n v="25.5"/>
    <n v="25.5"/>
    <x v="2"/>
    <x v="0"/>
    <s v="Kalamata Olives, Feta Cheese, Tomatoes, Garlic, Beef Chuck Roast, Red Onions"/>
    <x v="4"/>
  </r>
  <r>
    <x v="5"/>
    <s v="pepperoni_l"/>
    <s v="Sophia Adams"/>
    <n v="1"/>
    <x v="2"/>
    <x v="5"/>
    <n v="15.25"/>
    <n v="15.25"/>
    <x v="1"/>
    <x v="0"/>
    <s v="Mozzarella Cheese, Pepperoni"/>
    <x v="5"/>
  </r>
  <r>
    <x v="6"/>
    <s v="prsc_argla_s"/>
    <s v="Jacob Harris"/>
    <n v="1"/>
    <x v="3"/>
    <x v="6"/>
    <n v="12.5"/>
    <n v="12.5"/>
    <x v="3"/>
    <x v="3"/>
    <s v="Prosciutto di San Daniele, Arugula, Mozzarella Cheese"/>
    <x v="6"/>
  </r>
  <r>
    <x v="7"/>
    <s v="ital_supr_l"/>
    <s v="Elizabeth Wright"/>
    <n v="1"/>
    <x v="4"/>
    <x v="7"/>
    <n v="20.75"/>
    <n v="20.75"/>
    <x v="1"/>
    <x v="3"/>
    <s v="Calabrese Salami, Capocollo, Tomatoes, Red Onions, Green Olives, Garlic"/>
    <x v="7"/>
  </r>
  <r>
    <x v="8"/>
    <s v="soppressata_s"/>
    <s v="Hannah Garcia"/>
    <n v="1"/>
    <x v="4"/>
    <x v="8"/>
    <n v="12.5"/>
    <n v="12.5"/>
    <x v="3"/>
    <x v="3"/>
    <s v="Soppressata Salami, Fontina Cheese, Mozzarella Cheese, Mushrooms, Garlic"/>
    <x v="3"/>
  </r>
  <r>
    <x v="9"/>
    <s v="mexicana_s"/>
    <s v="Zachary Smith"/>
    <n v="1"/>
    <x v="5"/>
    <x v="9"/>
    <n v="12"/>
    <n v="12"/>
    <x v="3"/>
    <x v="2"/>
    <s v="Tomatoes, Red Peppers, Jalapeno Peppers, Red Onions, Cilantro, Corn, Chipotle Sauce, Garlic"/>
    <x v="8"/>
  </r>
  <r>
    <x v="10"/>
    <s v="four_cheese_l"/>
    <s v="Ashley Evans"/>
    <n v="1"/>
    <x v="6"/>
    <x v="10"/>
    <n v="17.95"/>
    <n v="17.95"/>
    <x v="1"/>
    <x v="2"/>
    <s v="Ricotta Cheese, Gorgonzola Piccante Cheese, Mozzarella Cheese, Parmigiano Reggiano Cheese, Garlic"/>
    <x v="9"/>
  </r>
  <r>
    <x v="11"/>
    <s v="the_greek_m"/>
    <s v="Megan Turner"/>
    <n v="1"/>
    <x v="7"/>
    <x v="11"/>
    <n v="16"/>
    <n v="16"/>
    <x v="0"/>
    <x v="0"/>
    <s v="Kalamata Olives, Feta Cheese, Tomatoes, Garlic, Beef Chuck Roast, Red Onions"/>
    <x v="4"/>
  </r>
  <r>
    <x v="12"/>
    <s v="five_cheese_l"/>
    <s v="Logan Evans"/>
    <n v="1"/>
    <x v="8"/>
    <x v="12"/>
    <n v="18.5"/>
    <n v="18.5"/>
    <x v="1"/>
    <x v="2"/>
    <s v="Mozzarella Cheese, Provolone Cheese, Smoked Gouda Cheese, Romano Cheese, Blue Cheese, Garlic"/>
    <x v="2"/>
  </r>
  <r>
    <x v="13"/>
    <s v="the_greek_xl"/>
    <s v="Megan Collins"/>
    <n v="1"/>
    <x v="9"/>
    <x v="13"/>
    <n v="25.5"/>
    <n v="25.5"/>
    <x v="2"/>
    <x v="0"/>
    <s v="Kalamata Olives, Feta Cheese, Tomatoes, Garlic, Beef Chuck Roast, Red Onions"/>
    <x v="4"/>
  </r>
  <r>
    <x v="14"/>
    <s v="spicy_ital_l"/>
    <s v="Amber Wright"/>
    <n v="1"/>
    <x v="9"/>
    <x v="14"/>
    <n v="20.75"/>
    <n v="20.75"/>
    <x v="1"/>
    <x v="3"/>
    <s v="Capocollo, Tomatoes, Goat Cheese, Artichokes, Peperoncini verdi, Garlic"/>
    <x v="10"/>
  </r>
  <r>
    <x v="15"/>
    <s v="ital_veggie_m"/>
    <s v="Brandon Jones"/>
    <n v="1"/>
    <x v="9"/>
    <x v="15"/>
    <n v="16.75"/>
    <n v="16.75"/>
    <x v="0"/>
    <x v="2"/>
    <s v="Eggplant, Artichokes, Tomatoes, Zucchini, Red Peppers, Garlic, Pesto Sauce"/>
    <x v="11"/>
  </r>
  <r>
    <x v="16"/>
    <s v="sicilian_s"/>
    <s v="Samantha Lewis"/>
    <n v="1"/>
    <x v="10"/>
    <x v="16"/>
    <n v="12.25"/>
    <n v="12.25"/>
    <x v="3"/>
    <x v="3"/>
    <s v="Coarse Sicilian Salami, Tomatoes, Green Olives, Luganega Sausage, Onions, Garlic"/>
    <x v="12"/>
  </r>
  <r>
    <x v="17"/>
    <s v="classic_dlx_m"/>
    <s v="Courtney Gonzalez"/>
    <n v="1"/>
    <x v="11"/>
    <x v="17"/>
    <n v="16"/>
    <n v="16"/>
    <x v="0"/>
    <x v="0"/>
    <s v="Pepperoni, Mushrooms, Red Onions, Red Peppers, Bacon"/>
    <x v="0"/>
  </r>
  <r>
    <x v="18"/>
    <s v="bbq_ckn_s"/>
    <s v="Alexis Smith"/>
    <n v="1"/>
    <x v="12"/>
    <x v="18"/>
    <n v="12.75"/>
    <n v="12.75"/>
    <x v="3"/>
    <x v="1"/>
    <s v="Barbecued Chicken, Red Peppers, Green Peppers, Tomatoes, Red Onions, Barbecue Sauce"/>
    <x v="13"/>
  </r>
  <r>
    <x v="19"/>
    <s v="the_greek_m"/>
    <s v="Rachel Anderson"/>
    <n v="1"/>
    <x v="12"/>
    <x v="19"/>
    <n v="16"/>
    <n v="16"/>
    <x v="0"/>
    <x v="0"/>
    <s v="Kalamata Olives, Feta Cheese, Tomatoes, Garlic, Beef Chuck Roast, Red Onions"/>
    <x v="4"/>
  </r>
  <r>
    <x v="20"/>
    <s v="sicilian_l"/>
    <s v="Madison Davis"/>
    <n v="1"/>
    <x v="13"/>
    <x v="20"/>
    <n v="20.25"/>
    <n v="20.25"/>
    <x v="1"/>
    <x v="3"/>
    <s v="Coarse Sicilian Salami, Tomatoes, Green Olives, Luganega Sausage, Onions, Garlic"/>
    <x v="12"/>
  </r>
  <r>
    <x v="21"/>
    <s v="peppr_salami_m"/>
    <s v="Ashley Scott"/>
    <n v="1"/>
    <x v="13"/>
    <x v="21"/>
    <n v="16.5"/>
    <n v="16.5"/>
    <x v="0"/>
    <x v="3"/>
    <s v="Genoa Salami, Capocollo, Pepperoni, Tomatoes, Asiago Cheese, Garlic"/>
    <x v="14"/>
  </r>
  <r>
    <x v="22"/>
    <s v="southw_ckn_s"/>
    <s v="Christopher King"/>
    <n v="1"/>
    <x v="14"/>
    <x v="22"/>
    <n v="12.75"/>
    <n v="12.75"/>
    <x v="3"/>
    <x v="1"/>
    <s v="Chicken, Tomatoes, Red Peppers, Red Onions, Jalapeno Peppers, Corn, Cilantro, Chipotle Sauce"/>
    <x v="15"/>
  </r>
  <r>
    <x v="23"/>
    <s v="pepperoni_s"/>
    <s v="Robert Thompson"/>
    <n v="1"/>
    <x v="15"/>
    <x v="23"/>
    <n v="9.75"/>
    <n v="9.75"/>
    <x v="3"/>
    <x v="0"/>
    <s v="Mozzarella Cheese, Pepperoni"/>
    <x v="5"/>
  </r>
  <r>
    <x v="24"/>
    <s v="mediterraneo_l"/>
    <s v="Elizabeth Moore"/>
    <n v="1"/>
    <x v="16"/>
    <x v="24"/>
    <n v="20.25"/>
    <n v="20.25"/>
    <x v="1"/>
    <x v="2"/>
    <s v="Spinach, Artichokes, Kalamata Olives, Sun-dried Tomatoes, Feta Cheese, Plum Tomatoes, Red Onions"/>
    <x v="16"/>
  </r>
  <r>
    <x v="25"/>
    <s v="classic_dlx_m"/>
    <s v="Sarah Parker"/>
    <n v="1"/>
    <x v="17"/>
    <x v="25"/>
    <n v="16"/>
    <n v="16"/>
    <x v="0"/>
    <x v="0"/>
    <s v="Pepperoni, Mushrooms, Red Onions, Red Peppers, Bacon"/>
    <x v="0"/>
  </r>
  <r>
    <x v="26"/>
    <s v="thai_ckn_l"/>
    <s v="Zachary Garcia"/>
    <n v="1"/>
    <x v="18"/>
    <x v="26"/>
    <n v="20.75"/>
    <n v="20.75"/>
    <x v="1"/>
    <x v="1"/>
    <s v="Chicken, Pineapple, Tomatoes, Red Peppers, Thai Sweet Chilli Sauce"/>
    <x v="17"/>
  </r>
  <r>
    <x v="27"/>
    <s v="hawaiian_l"/>
    <s v="Brianna Moore"/>
    <n v="1"/>
    <x v="19"/>
    <x v="27"/>
    <n v="16.5"/>
    <n v="16.5"/>
    <x v="1"/>
    <x v="0"/>
    <s v="Sliced Ham, Pineapple, Mozzarella Cheese"/>
    <x v="18"/>
  </r>
  <r>
    <x v="28"/>
    <s v="five_cheese_l"/>
    <s v="Ashley Garcia"/>
    <n v="1"/>
    <x v="19"/>
    <x v="28"/>
    <n v="18.5"/>
    <n v="18.5"/>
    <x v="1"/>
    <x v="2"/>
    <s v="Mozzarella Cheese, Provolone Cheese, Smoked Gouda Cheese, Romano Cheese, Blue Cheese, Garlic"/>
    <x v="2"/>
  </r>
  <r>
    <x v="29"/>
    <s v="four_cheese_l"/>
    <s v="Amanda Torres"/>
    <n v="1"/>
    <x v="20"/>
    <x v="29"/>
    <n v="17.95"/>
    <n v="17.95"/>
    <x v="1"/>
    <x v="2"/>
    <s v="Ricotta Cheese, Gorgonzola Piccante Cheese, Mozzarella Cheese, Parmigiano Reggiano Cheese, Garlic"/>
    <x v="9"/>
  </r>
  <r>
    <x v="30"/>
    <s v="bbq_ckn_l"/>
    <s v="Jessica Martin"/>
    <n v="1"/>
    <x v="21"/>
    <x v="30"/>
    <n v="20.75"/>
    <n v="20.75"/>
    <x v="1"/>
    <x v="1"/>
    <s v="Barbecued Chicken, Red Peppers, Green Peppers, Tomatoes, Red Onions, Barbecue Sauce"/>
    <x v="13"/>
  </r>
  <r>
    <x v="31"/>
    <s v="cali_ckn_l"/>
    <s v="Elizabeth Sanchez"/>
    <n v="1"/>
    <x v="21"/>
    <x v="31"/>
    <n v="20.75"/>
    <n v="20.75"/>
    <x v="1"/>
    <x v="1"/>
    <s v="Chicken, Artichoke, Spinach, Garlic, Jalapeno Peppers, Fontina Cheese, Gouda Cheese"/>
    <x v="1"/>
  </r>
  <r>
    <x v="32"/>
    <s v="bbq_ckn_l"/>
    <s v="Dylan Wright"/>
    <n v="1"/>
    <x v="22"/>
    <x v="32"/>
    <n v="20.75"/>
    <n v="20.75"/>
    <x v="1"/>
    <x v="1"/>
    <s v="Barbecued Chicken, Red Peppers, Green Peppers, Tomatoes, Red Onions, Barbecue Sauce"/>
    <x v="13"/>
  </r>
  <r>
    <x v="33"/>
    <s v="spicy_ital_s"/>
    <s v="Logan Hernandez"/>
    <n v="1"/>
    <x v="23"/>
    <x v="33"/>
    <n v="12.5"/>
    <n v="12.5"/>
    <x v="3"/>
    <x v="3"/>
    <s v="Capocollo, Tomatoes, Goat Cheese, Artichokes, Peperoncini verdi, Garlic"/>
    <x v="10"/>
  </r>
  <r>
    <x v="34"/>
    <s v="mexicana_m"/>
    <s v="Zachary Johnson"/>
    <n v="1"/>
    <x v="23"/>
    <x v="34"/>
    <n v="16"/>
    <n v="16"/>
    <x v="0"/>
    <x v="2"/>
    <s v="Tomatoes, Red Peppers, Jalapeno Peppers, Red Onions, Cilantro, Corn, Chipotle Sauce, Garlic"/>
    <x v="8"/>
  </r>
  <r>
    <x v="35"/>
    <s v="spicy_ital_l"/>
    <s v="Dylan Nelson"/>
    <n v="1"/>
    <x v="24"/>
    <x v="35"/>
    <n v="20.75"/>
    <n v="20.75"/>
    <x v="1"/>
    <x v="3"/>
    <s v="Capocollo, Tomatoes, Goat Cheese, Artichokes, Peperoncini verdi, Garlic"/>
    <x v="10"/>
  </r>
  <r>
    <x v="36"/>
    <s v="veggie_veg_m"/>
    <s v="Brianna Allen"/>
    <n v="1"/>
    <x v="25"/>
    <x v="36"/>
    <n v="16"/>
    <n v="16"/>
    <x v="0"/>
    <x v="2"/>
    <s v="Mushrooms, Tomatoes, Red Peppers, Green Peppers, Red Onions, Zucchini, Spinach, Garlic"/>
    <x v="19"/>
  </r>
  <r>
    <x v="37"/>
    <s v="peppr_salami_s"/>
    <s v="Andrew Wright"/>
    <n v="1"/>
    <x v="26"/>
    <x v="37"/>
    <n v="12.5"/>
    <n v="12.5"/>
    <x v="3"/>
    <x v="3"/>
    <s v="Genoa Salami, Capocollo, Pepperoni, Tomatoes, Asiago Cheese, Garlic"/>
    <x v="14"/>
  </r>
  <r>
    <x v="38"/>
    <s v="hawaiian_s"/>
    <s v="Elizabeth Harris"/>
    <n v="1"/>
    <x v="27"/>
    <x v="38"/>
    <n v="10.5"/>
    <n v="10.5"/>
    <x v="3"/>
    <x v="0"/>
    <s v="Sliced Ham, Pineapple, Mozzarella Cheese"/>
    <x v="18"/>
  </r>
  <r>
    <x v="39"/>
    <s v="mediterraneo_l"/>
    <s v="Anthony Ramirez"/>
    <n v="1"/>
    <x v="27"/>
    <x v="39"/>
    <n v="20.25"/>
    <n v="20.25"/>
    <x v="1"/>
    <x v="2"/>
    <s v="Spinach, Artichokes, Kalamata Olives, Sun-dried Tomatoes, Feta Cheese, Plum Tomatoes, Red Onions"/>
    <x v="16"/>
  </r>
  <r>
    <x v="40"/>
    <s v="ckn_alfredo_m"/>
    <s v="Justin Allen"/>
    <n v="1"/>
    <x v="28"/>
    <x v="40"/>
    <n v="16.75"/>
    <n v="16.75"/>
    <x v="0"/>
    <x v="1"/>
    <s v="Chicken, Red Onions, Red Peppers, Mushrooms, Asiago Cheese, Alfredo Sauce"/>
    <x v="20"/>
  </r>
  <r>
    <x v="41"/>
    <s v="thai_ckn_m"/>
    <s v="Jennifer Allen"/>
    <n v="1"/>
    <x v="28"/>
    <x v="41"/>
    <n v="16.75"/>
    <n v="16.75"/>
    <x v="0"/>
    <x v="1"/>
    <s v="Chicken, Pineapple, Tomatoes, Red Peppers, Thai Sweet Chilli Sauce"/>
    <x v="17"/>
  </r>
  <r>
    <x v="42"/>
    <s v="the_greek_l"/>
    <s v="Amber Scott"/>
    <n v="1"/>
    <x v="29"/>
    <x v="42"/>
    <n v="20.5"/>
    <n v="20.5"/>
    <x v="1"/>
    <x v="0"/>
    <s v="Kalamata Olives, Feta Cheese, Tomatoes, Garlic, Beef Chuck Roast, Red Onions"/>
    <x v="4"/>
  </r>
  <r>
    <x v="43"/>
    <s v="hawaiian_s"/>
    <s v="Justin Johnson"/>
    <n v="1"/>
    <x v="29"/>
    <x v="43"/>
    <n v="10.5"/>
    <n v="10.5"/>
    <x v="3"/>
    <x v="0"/>
    <s v="Sliced Ham, Pineapple, Mozzarella Cheese"/>
    <x v="18"/>
  </r>
  <r>
    <x v="44"/>
    <s v="ckn_pesto_l"/>
    <s v="Victoria Perez"/>
    <n v="1"/>
    <x v="30"/>
    <x v="44"/>
    <n v="20.75"/>
    <n v="20.75"/>
    <x v="1"/>
    <x v="1"/>
    <s v="Chicken, Tomatoes, Red Peppers, Spinach, Garlic, Pesto Sauce"/>
    <x v="21"/>
  </r>
  <r>
    <x v="45"/>
    <s v="four_cheese_l"/>
    <s v="Sophia Green"/>
    <n v="1"/>
    <x v="31"/>
    <x v="45"/>
    <n v="17.95"/>
    <n v="17.95"/>
    <x v="1"/>
    <x v="2"/>
    <s v="Ricotta Cheese, Gorgonzola Piccante Cheese, Mozzarella Cheese, Parmigiano Reggiano Cheese, Garlic"/>
    <x v="9"/>
  </r>
  <r>
    <x v="46"/>
    <s v="sicilian_l"/>
    <s v="Zachary Evans"/>
    <n v="1"/>
    <x v="32"/>
    <x v="46"/>
    <n v="20.25"/>
    <n v="20.25"/>
    <x v="1"/>
    <x v="3"/>
    <s v="Coarse Sicilian Salami, Tomatoes, Green Olives, Luganega Sausage, Onions, Garlic"/>
    <x v="12"/>
  </r>
  <r>
    <x v="47"/>
    <s v="calabrese_l"/>
    <s v="Sarah Green"/>
    <n v="1"/>
    <x v="33"/>
    <x v="47"/>
    <n v="20.25"/>
    <n v="20.25"/>
    <x v="1"/>
    <x v="3"/>
    <s v="慛duja Salami, Pancetta, Tomatoes, Red Onions, Friggitello Peppers, Garlic"/>
    <x v="22"/>
  </r>
  <r>
    <x v="48"/>
    <s v="ital_supr_l"/>
    <s v="Amber Evans"/>
    <n v="1"/>
    <x v="33"/>
    <x v="48"/>
    <n v="20.75"/>
    <n v="20.75"/>
    <x v="1"/>
    <x v="3"/>
    <s v="Calabrese Salami, Capocollo, Tomatoes, Red Onions, Green Olives, Garlic"/>
    <x v="7"/>
  </r>
  <r>
    <x v="49"/>
    <s v="ital_veggie_m"/>
    <s v="Alexis Perez"/>
    <n v="1"/>
    <x v="33"/>
    <x v="49"/>
    <n v="16.75"/>
    <n v="16.75"/>
    <x v="0"/>
    <x v="2"/>
    <s v="Eggplant, Artichokes, Tomatoes, Zucchini, Red Peppers, Garlic, Pesto Sauce"/>
    <x v="11"/>
  </r>
  <r>
    <x v="50"/>
    <s v="peppr_salami_s"/>
    <s v="Sarah Martinez"/>
    <n v="1"/>
    <x v="34"/>
    <x v="50"/>
    <n v="12.5"/>
    <n v="12.5"/>
    <x v="3"/>
    <x v="3"/>
    <s v="Genoa Salami, Capocollo, Pepperoni, Tomatoes, Asiago Cheese, Garlic"/>
    <x v="14"/>
  </r>
  <r>
    <x v="51"/>
    <s v="peppr_salami_l"/>
    <s v="Justin Gonzalez"/>
    <n v="1"/>
    <x v="35"/>
    <x v="51"/>
    <n v="20.75"/>
    <n v="20.75"/>
    <x v="1"/>
    <x v="3"/>
    <s v="Genoa Salami, Capocollo, Pepperoni, Tomatoes, Asiago Cheese, Garlic"/>
    <x v="14"/>
  </r>
  <r>
    <x v="52"/>
    <s v="sicilian_m"/>
    <s v="Anthony Torres"/>
    <n v="1"/>
    <x v="35"/>
    <x v="52"/>
    <n v="16.25"/>
    <n v="16.25"/>
    <x v="0"/>
    <x v="3"/>
    <s v="Coarse Sicilian Salami, Tomatoes, Green Olives, Luganega Sausage, Onions, Garlic"/>
    <x v="12"/>
  </r>
  <r>
    <x v="53"/>
    <s v="prsc_argla_m"/>
    <s v="Matthew Wright"/>
    <n v="1"/>
    <x v="36"/>
    <x v="53"/>
    <n v="16.5"/>
    <n v="16.5"/>
    <x v="0"/>
    <x v="3"/>
    <s v="Prosciutto di San Daniele, Arugula, Mozzarella Cheese"/>
    <x v="6"/>
  </r>
  <r>
    <x v="54"/>
    <s v="mexicana_m"/>
    <s v="Brandon Carter"/>
    <n v="1"/>
    <x v="36"/>
    <x v="54"/>
    <n v="16"/>
    <n v="16"/>
    <x v="0"/>
    <x v="2"/>
    <s v="Tomatoes, Red Peppers, Jalapeno Peppers, Red Onions, Cilantro, Corn, Chipotle Sauce, Garlic"/>
    <x v="8"/>
  </r>
  <r>
    <x v="55"/>
    <s v="prsc_argla_l"/>
    <s v="Matthew Thompson"/>
    <n v="1"/>
    <x v="36"/>
    <x v="55"/>
    <n v="20.75"/>
    <n v="20.75"/>
    <x v="1"/>
    <x v="3"/>
    <s v="Prosciutto di San Daniele, Arugula, Mozzarella Cheese"/>
    <x v="6"/>
  </r>
  <r>
    <x v="56"/>
    <s v="peppr_salami_l"/>
    <s v="Amanda Lopez"/>
    <n v="1"/>
    <x v="37"/>
    <x v="56"/>
    <n v="20.75"/>
    <n v="20.75"/>
    <x v="1"/>
    <x v="3"/>
    <s v="Genoa Salami, Capocollo, Pepperoni, Tomatoes, Asiago Cheese, Garlic"/>
    <x v="14"/>
  </r>
  <r>
    <x v="57"/>
    <s v="prsc_argla_s"/>
    <s v="Robert Lopez"/>
    <n v="1"/>
    <x v="37"/>
    <x v="57"/>
    <n v="12.5"/>
    <n v="12.5"/>
    <x v="3"/>
    <x v="3"/>
    <s v="Prosciutto di San Daniele, Arugula, Mozzarella Cheese"/>
    <x v="6"/>
  </r>
  <r>
    <x v="58"/>
    <s v="southw_ckn_l"/>
    <s v="Elizabeth Allen"/>
    <n v="1"/>
    <x v="38"/>
    <x v="58"/>
    <n v="20.75"/>
    <n v="20.75"/>
    <x v="1"/>
    <x v="1"/>
    <s v="Chicken, Tomatoes, Red Peppers, Red Onions, Jalapeno Peppers, Corn, Cilantro, Chipotle Sauce"/>
    <x v="15"/>
  </r>
  <r>
    <x v="59"/>
    <s v="spin_pesto_s"/>
    <s v="Jessica Roberts"/>
    <n v="1"/>
    <x v="38"/>
    <x v="59"/>
    <n v="12.5"/>
    <n v="12.5"/>
    <x v="3"/>
    <x v="2"/>
    <s v="Spinach, Artichokes, Tomatoes, Sun-dried Tomatoes, Garlic, Pesto Sauce"/>
    <x v="23"/>
  </r>
  <r>
    <x v="60"/>
    <s v="prsc_argla_m"/>
    <s v="Rachel Campbell"/>
    <n v="1"/>
    <x v="39"/>
    <x v="60"/>
    <n v="16.5"/>
    <n v="16.5"/>
    <x v="0"/>
    <x v="3"/>
    <s v="Prosciutto di San Daniele, Arugula, Mozzarella Cheese"/>
    <x v="6"/>
  </r>
  <r>
    <x v="61"/>
    <s v="sicilian_s"/>
    <s v="Samantha Young"/>
    <n v="1"/>
    <x v="40"/>
    <x v="61"/>
    <n v="12.25"/>
    <n v="12.25"/>
    <x v="3"/>
    <x v="3"/>
    <s v="Coarse Sicilian Salami, Tomatoes, Green Olives, Luganega Sausage, Onions, Garlic"/>
    <x v="12"/>
  </r>
  <r>
    <x v="62"/>
    <s v="big_meat_s"/>
    <s v="Stephanie Scott"/>
    <n v="1"/>
    <x v="41"/>
    <x v="62"/>
    <n v="12"/>
    <n v="12"/>
    <x v="3"/>
    <x v="0"/>
    <s v="Bacon, Pepperoni, Italian Sausage, Chorizo Sausage"/>
    <x v="24"/>
  </r>
  <r>
    <x v="63"/>
    <s v="mexicana_m"/>
    <s v="Alexander Williams"/>
    <n v="1"/>
    <x v="41"/>
    <x v="63"/>
    <n v="16"/>
    <n v="16"/>
    <x v="0"/>
    <x v="2"/>
    <s v="Tomatoes, Red Peppers, Jalapeno Peppers, Red Onions, Cilantro, Corn, Chipotle Sauce, Garlic"/>
    <x v="8"/>
  </r>
  <r>
    <x v="64"/>
    <s v="classic_dlx_s"/>
    <s v="Daniel White"/>
    <n v="1"/>
    <x v="41"/>
    <x v="64"/>
    <n v="12"/>
    <n v="12"/>
    <x v="3"/>
    <x v="0"/>
    <s v="Pepperoni, Mushrooms, Red Onions, Red Peppers, Bacon"/>
    <x v="0"/>
  </r>
  <r>
    <x v="65"/>
    <s v="southw_ckn_s"/>
    <s v="Lauren Phillips"/>
    <n v="1"/>
    <x v="42"/>
    <x v="65"/>
    <n v="12.75"/>
    <n v="12.75"/>
    <x v="3"/>
    <x v="1"/>
    <s v="Chicken, Tomatoes, Red Peppers, Red Onions, Jalapeno Peppers, Corn, Cilantro, Chipotle Sauce"/>
    <x v="15"/>
  </r>
  <r>
    <x v="66"/>
    <s v="ital_cpcllo_l"/>
    <s v="Daniel Allen"/>
    <n v="1"/>
    <x v="43"/>
    <x v="66"/>
    <n v="20.5"/>
    <n v="20.5"/>
    <x v="1"/>
    <x v="0"/>
    <s v="Capocollo, Red Peppers, Tomatoes, Goat Cheese, Garlic, Oregano"/>
    <x v="25"/>
  </r>
  <r>
    <x v="67"/>
    <s v="napolitana_s"/>
    <s v="Christopher Jackson"/>
    <n v="1"/>
    <x v="44"/>
    <x v="67"/>
    <n v="12"/>
    <n v="12"/>
    <x v="3"/>
    <x v="0"/>
    <s v="Tomatoes, Anchovies, Green Olives, Red Onions, Garlic"/>
    <x v="26"/>
  </r>
  <r>
    <x v="68"/>
    <s v="bbq_ckn_l"/>
    <s v="Anthony White"/>
    <n v="1"/>
    <x v="45"/>
    <x v="68"/>
    <n v="20.75"/>
    <n v="20.75"/>
    <x v="1"/>
    <x v="1"/>
    <s v="Barbecued Chicken, Red Peppers, Green Peppers, Tomatoes, Red Onions, Barbecue Sauce"/>
    <x v="13"/>
  </r>
  <r>
    <x v="69"/>
    <s v="hawaiian_m"/>
    <s v="Amber Evans"/>
    <n v="1"/>
    <x v="45"/>
    <x v="69"/>
    <n v="13.25"/>
    <n v="13.25"/>
    <x v="0"/>
    <x v="0"/>
    <s v="Sliced Ham, Pineapple, Mozzarella Cheese"/>
    <x v="18"/>
  </r>
  <r>
    <x v="70"/>
    <s v="soppressata_l"/>
    <s v="Amanda Young"/>
    <n v="1"/>
    <x v="45"/>
    <x v="70"/>
    <n v="20.75"/>
    <n v="20.75"/>
    <x v="1"/>
    <x v="3"/>
    <s v="Soppressata Salami, Fontina Cheese, Mozzarella Cheese, Mushrooms, Garlic"/>
    <x v="3"/>
  </r>
  <r>
    <x v="71"/>
    <s v="hawaiian_s"/>
    <s v="Alexander Smith"/>
    <n v="1"/>
    <x v="46"/>
    <x v="71"/>
    <n v="10.5"/>
    <n v="10.5"/>
    <x v="3"/>
    <x v="0"/>
    <s v="Sliced Ham, Pineapple, Mozzarella Cheese"/>
    <x v="18"/>
  </r>
  <r>
    <x v="72"/>
    <s v="hawaiian_s"/>
    <s v="Zachary Hernandez"/>
    <n v="1"/>
    <x v="46"/>
    <x v="72"/>
    <n v="10.5"/>
    <n v="10.5"/>
    <x v="3"/>
    <x v="0"/>
    <s v="Sliced Ham, Pineapple, Mozzarella Cheese"/>
    <x v="18"/>
  </r>
  <r>
    <x v="73"/>
    <s v="spin_pesto_l"/>
    <s v="Alexis White"/>
    <n v="1"/>
    <x v="47"/>
    <x v="73"/>
    <n v="20.75"/>
    <n v="20.75"/>
    <x v="1"/>
    <x v="2"/>
    <s v="Spinach, Artichokes, Tomatoes, Sun-dried Tomatoes, Garlic, Pesto Sauce"/>
    <x v="23"/>
  </r>
  <r>
    <x v="74"/>
    <s v="classic_dlx_s"/>
    <s v="Tyler Adams"/>
    <n v="1"/>
    <x v="48"/>
    <x v="74"/>
    <n v="12"/>
    <n v="12"/>
    <x v="3"/>
    <x v="0"/>
    <s v="Pepperoni, Mushrooms, Red Onions, Red Peppers, Bacon"/>
    <x v="0"/>
  </r>
  <r>
    <x v="75"/>
    <s v="veggie_veg_m"/>
    <s v="Brandon Williams"/>
    <n v="3"/>
    <x v="49"/>
    <x v="75"/>
    <n v="16"/>
    <n v="48"/>
    <x v="0"/>
    <x v="2"/>
    <s v="Mushrooms, Tomatoes, Red Peppers, Green Peppers, Red Onions, Zucchini, Spinach, Garlic"/>
    <x v="19"/>
  </r>
  <r>
    <x v="76"/>
    <s v="green_garden_s"/>
    <s v="Brianna Scott"/>
    <n v="1"/>
    <x v="50"/>
    <x v="76"/>
    <n v="12"/>
    <n v="12"/>
    <x v="3"/>
    <x v="2"/>
    <s v="Spinach, Mushrooms, Tomatoes, Green Olives, Feta Cheese"/>
    <x v="27"/>
  </r>
  <r>
    <x v="77"/>
    <s v="big_meat_s"/>
    <s v="Victoria Thomas"/>
    <n v="1"/>
    <x v="50"/>
    <x v="77"/>
    <n v="12"/>
    <n v="12"/>
    <x v="3"/>
    <x v="0"/>
    <s v="Bacon, Pepperoni, Italian Sausage, Chorizo Sausage"/>
    <x v="24"/>
  </r>
  <r>
    <x v="78"/>
    <s v="four_cheese_l"/>
    <s v="Olivia Lee"/>
    <n v="1"/>
    <x v="50"/>
    <x v="78"/>
    <n v="17.95"/>
    <n v="17.95"/>
    <x v="1"/>
    <x v="2"/>
    <s v="Ricotta Cheese, Gorgonzola Piccante Cheese, Mozzarella Cheese, Parmigiano Reggiano Cheese, Garlic"/>
    <x v="9"/>
  </r>
  <r>
    <x v="79"/>
    <s v="ital_supr_m"/>
    <s v="Hannah Jones"/>
    <n v="1"/>
    <x v="51"/>
    <x v="79"/>
    <n v="16.5"/>
    <n v="16.5"/>
    <x v="0"/>
    <x v="3"/>
    <s v="Calabrese Salami, Capocollo, Tomatoes, Red Onions, Green Olives, Garlic"/>
    <x v="7"/>
  </r>
  <r>
    <x v="80"/>
    <s v="spicy_ital_m"/>
    <s v="Andrew Miller"/>
    <n v="1"/>
    <x v="52"/>
    <x v="80"/>
    <n v="16.5"/>
    <n v="16.5"/>
    <x v="0"/>
    <x v="3"/>
    <s v="Capocollo, Tomatoes, Goat Cheese, Artichokes, Peperoncini verdi, Garlic"/>
    <x v="10"/>
  </r>
  <r>
    <x v="81"/>
    <s v="calabrese_l"/>
    <s v="Sarah Allen"/>
    <n v="1"/>
    <x v="52"/>
    <x v="81"/>
    <n v="20.25"/>
    <n v="20.25"/>
    <x v="1"/>
    <x v="3"/>
    <s v="慛duja Salami, Pancetta, Tomatoes, Red Onions, Friggitello Peppers, Garlic"/>
    <x v="22"/>
  </r>
  <r>
    <x v="82"/>
    <s v="cali_ckn_l"/>
    <s v="William Allen"/>
    <n v="1"/>
    <x v="53"/>
    <x v="82"/>
    <n v="20.75"/>
    <n v="20.75"/>
    <x v="1"/>
    <x v="1"/>
    <s v="Chicken, Artichoke, Spinach, Garlic, Jalapeno Peppers, Fontina Cheese, Gouda Cheese"/>
    <x v="1"/>
  </r>
  <r>
    <x v="83"/>
    <s v="sicilian_m"/>
    <s v="Lauren Martin"/>
    <n v="1"/>
    <x v="53"/>
    <x v="83"/>
    <n v="16.25"/>
    <n v="16.25"/>
    <x v="0"/>
    <x v="3"/>
    <s v="Coarse Sicilian Salami, Tomatoes, Green Olives, Luganega Sausage, Onions, Garlic"/>
    <x v="12"/>
  </r>
  <r>
    <x v="84"/>
    <s v="ital_veggie_l"/>
    <s v="Linda Hall"/>
    <n v="1"/>
    <x v="53"/>
    <x v="84"/>
    <n v="21"/>
    <n v="21"/>
    <x v="1"/>
    <x v="2"/>
    <s v="Eggplant, Artichokes, Tomatoes, Zucchini, Red Peppers, Garlic, Pesto Sauce"/>
    <x v="11"/>
  </r>
  <r>
    <x v="85"/>
    <s v="thai_ckn_s"/>
    <s v="Olivia Brown"/>
    <n v="1"/>
    <x v="54"/>
    <x v="85"/>
    <n v="12.75"/>
    <n v="12.75"/>
    <x v="3"/>
    <x v="1"/>
    <s v="Chicken, Pineapple, Tomatoes, Red Peppers, Thai Sweet Chilli Sauce"/>
    <x v="17"/>
  </r>
  <r>
    <x v="86"/>
    <s v="ital_supr_s"/>
    <s v="Nicholas Walker"/>
    <n v="1"/>
    <x v="54"/>
    <x v="86"/>
    <n v="12.5"/>
    <n v="12.5"/>
    <x v="3"/>
    <x v="3"/>
    <s v="Calabrese Salami, Capocollo, Tomatoes, Red Onions, Green Olives, Garlic"/>
    <x v="7"/>
  </r>
  <r>
    <x v="87"/>
    <s v="four_cheese_l"/>
    <s v="Nicholas Green"/>
    <n v="1"/>
    <x v="55"/>
    <x v="87"/>
    <n v="17.95"/>
    <n v="17.95"/>
    <x v="1"/>
    <x v="2"/>
    <s v="Ricotta Cheese, Gorgonzola Piccante Cheese, Mozzarella Cheese, Parmigiano Reggiano Cheese, Garlic"/>
    <x v="9"/>
  </r>
  <r>
    <x v="88"/>
    <s v="veggie_veg_s"/>
    <s v="Ethan Perez"/>
    <n v="1"/>
    <x v="56"/>
    <x v="88"/>
    <n v="12"/>
    <n v="12"/>
    <x v="3"/>
    <x v="2"/>
    <s v="Mushrooms, Tomatoes, Red Peppers, Green Peppers, Red Onions, Zucchini, Spinach, Garlic"/>
    <x v="19"/>
  </r>
  <r>
    <x v="89"/>
    <s v="ital_supr_m"/>
    <s v="Alexis Campbell"/>
    <n v="1"/>
    <x v="56"/>
    <x v="89"/>
    <n v="16.5"/>
    <n v="16.5"/>
    <x v="0"/>
    <x v="3"/>
    <s v="Calabrese Salami, Capocollo, Tomatoes, Red Onions, Green Olives, Garlic"/>
    <x v="7"/>
  </r>
  <r>
    <x v="90"/>
    <s v="ckn_pesto_m"/>
    <s v="Emily Wright"/>
    <n v="1"/>
    <x v="57"/>
    <x v="90"/>
    <n v="16.75"/>
    <n v="16.75"/>
    <x v="0"/>
    <x v="1"/>
    <s v="Chicken, Tomatoes, Red Peppers, Spinach, Garlic, Pesto Sauce"/>
    <x v="21"/>
  </r>
  <r>
    <x v="91"/>
    <s v="thai_ckn_l"/>
    <s v="Linda Hernandez"/>
    <n v="1"/>
    <x v="58"/>
    <x v="91"/>
    <n v="20.75"/>
    <n v="20.75"/>
    <x v="1"/>
    <x v="1"/>
    <s v="Chicken, Pineapple, Tomatoes, Red Peppers, Thai Sweet Chilli Sauce"/>
    <x v="17"/>
  </r>
  <r>
    <x v="92"/>
    <s v="calabrese_m"/>
    <s v="Jennifer Allen"/>
    <n v="1"/>
    <x v="59"/>
    <x v="92"/>
    <n v="16.25"/>
    <n v="16.25"/>
    <x v="0"/>
    <x v="3"/>
    <s v="慛duja Salami, Pancetta, Tomatoes, Red Onions, Friggitello Peppers, Garlic"/>
    <x v="22"/>
  </r>
  <r>
    <x v="93"/>
    <s v="five_cheese_l"/>
    <s v="Joseph Allen"/>
    <n v="1"/>
    <x v="60"/>
    <x v="93"/>
    <n v="18.5"/>
    <n v="18.5"/>
    <x v="1"/>
    <x v="2"/>
    <s v="Mozzarella Cheese, Provolone Cheese, Smoked Gouda Cheese, Romano Cheese, Blue Cheese, Garlic"/>
    <x v="2"/>
  </r>
  <r>
    <x v="94"/>
    <s v="spicy_ital_l"/>
    <s v="William Adams"/>
    <n v="1"/>
    <x v="60"/>
    <x v="94"/>
    <n v="20.75"/>
    <n v="20.75"/>
    <x v="1"/>
    <x v="3"/>
    <s v="Capocollo, Tomatoes, Goat Cheese, Artichokes, Peperoncini verdi, Garlic"/>
    <x v="10"/>
  </r>
  <r>
    <x v="95"/>
    <s v="peppr_salami_l"/>
    <s v="Dylan Nelson"/>
    <n v="1"/>
    <x v="61"/>
    <x v="95"/>
    <n v="20.75"/>
    <n v="20.75"/>
    <x v="1"/>
    <x v="3"/>
    <s v="Genoa Salami, Capocollo, Pepperoni, Tomatoes, Asiago Cheese, Garlic"/>
    <x v="14"/>
  </r>
  <r>
    <x v="96"/>
    <s v="thai_ckn_l"/>
    <s v="Kayla Lewis"/>
    <n v="1"/>
    <x v="62"/>
    <x v="96"/>
    <n v="20.75"/>
    <n v="20.75"/>
    <x v="1"/>
    <x v="1"/>
    <s v="Chicken, Pineapple, Tomatoes, Red Peppers, Thai Sweet Chilli Sauce"/>
    <x v="17"/>
  </r>
  <r>
    <x v="97"/>
    <s v="classic_dlx_s"/>
    <s v="Tyler Clark"/>
    <n v="1"/>
    <x v="63"/>
    <x v="97"/>
    <n v="12"/>
    <n v="12"/>
    <x v="3"/>
    <x v="0"/>
    <s v="Pepperoni, Mushrooms, Red Onions, Red Peppers, Bacon"/>
    <x v="0"/>
  </r>
  <r>
    <x v="98"/>
    <s v="soppressata_l"/>
    <s v="Stephanie Clark"/>
    <n v="1"/>
    <x v="64"/>
    <x v="98"/>
    <n v="20.75"/>
    <n v="20.75"/>
    <x v="1"/>
    <x v="3"/>
    <s v="Soppressata Salami, Fontina Cheese, Mozzarella Cheese, Mushrooms, Garlic"/>
    <x v="3"/>
  </r>
  <r>
    <x v="99"/>
    <s v="the_greek_s"/>
    <s v="Michael Anderson"/>
    <n v="1"/>
    <x v="64"/>
    <x v="99"/>
    <n v="12"/>
    <n v="12"/>
    <x v="3"/>
    <x v="0"/>
    <s v="Kalamata Olives, Feta Cheese, Tomatoes, Garlic, Beef Chuck Roast, Red Onions"/>
    <x v="4"/>
  </r>
  <r>
    <x v="100"/>
    <s v="veggie_veg_l"/>
    <s v="Ryan Clark"/>
    <n v="1"/>
    <x v="64"/>
    <x v="99"/>
    <n v="20.25"/>
    <n v="20.25"/>
    <x v="1"/>
    <x v="2"/>
    <s v="Mushrooms, Tomatoes, Red Peppers, Green Peppers, Red Onions, Zucchini, Spinach, Garlic"/>
    <x v="19"/>
  </r>
  <r>
    <x v="101"/>
    <s v="the_greek_xl"/>
    <s v="Olivia Roberts"/>
    <n v="1"/>
    <x v="64"/>
    <x v="100"/>
    <n v="25.5"/>
    <n v="25.5"/>
    <x v="2"/>
    <x v="0"/>
    <s v="Kalamata Olives, Feta Cheese, Tomatoes, Garlic, Beef Chuck Roast, Red Onions"/>
    <x v="4"/>
  </r>
  <r>
    <x v="102"/>
    <s v="bbq_ckn_s"/>
    <s v="Matthew Garcia"/>
    <n v="1"/>
    <x v="65"/>
    <x v="101"/>
    <n v="12.75"/>
    <n v="12.75"/>
    <x v="3"/>
    <x v="1"/>
    <s v="Barbecued Chicken, Red Peppers, Green Peppers, Tomatoes, Red Onions, Barbecue Sauce"/>
    <x v="13"/>
  </r>
  <r>
    <x v="103"/>
    <s v="big_meat_s"/>
    <s v="Samantha Smith"/>
    <n v="1"/>
    <x v="65"/>
    <x v="102"/>
    <n v="12"/>
    <n v="12"/>
    <x v="3"/>
    <x v="0"/>
    <s v="Bacon, Pepperoni, Italian Sausage, Chorizo Sausage"/>
    <x v="24"/>
  </r>
  <r>
    <x v="104"/>
    <s v="green_garden_m"/>
    <s v="Victoria Hall"/>
    <n v="1"/>
    <x v="66"/>
    <x v="103"/>
    <n v="16"/>
    <n v="16"/>
    <x v="0"/>
    <x v="2"/>
    <s v="Spinach, Mushrooms, Tomatoes, Green Olives, Feta Cheese"/>
    <x v="27"/>
  </r>
  <r>
    <x v="105"/>
    <s v="spicy_ital_m"/>
    <s v="Emily Williams"/>
    <n v="1"/>
    <x v="66"/>
    <x v="104"/>
    <n v="16.5"/>
    <n v="16.5"/>
    <x v="0"/>
    <x v="3"/>
    <s v="Capocollo, Tomatoes, Goat Cheese, Artichokes, Peperoncini verdi, Garlic"/>
    <x v="10"/>
  </r>
  <r>
    <x v="106"/>
    <s v="thai_ckn_l"/>
    <s v="John Garcia"/>
    <n v="1"/>
    <x v="66"/>
    <x v="105"/>
    <n v="20.75"/>
    <n v="20.75"/>
    <x v="1"/>
    <x v="1"/>
    <s v="Chicken, Pineapple, Tomatoes, Red Peppers, Thai Sweet Chilli Sauce"/>
    <x v="17"/>
  </r>
  <r>
    <x v="107"/>
    <s v="mexicana_l"/>
    <s v="Robert Perez"/>
    <n v="1"/>
    <x v="67"/>
    <x v="106"/>
    <n v="20.25"/>
    <n v="20.25"/>
    <x v="1"/>
    <x v="2"/>
    <s v="Tomatoes, Red Peppers, Jalapeno Peppers, Red Onions, Cilantro, Corn, Chipotle Sauce, Garlic"/>
    <x v="8"/>
  </r>
  <r>
    <x v="108"/>
    <s v="classic_dlx_m"/>
    <s v="Joshua Smith"/>
    <n v="1"/>
    <x v="67"/>
    <x v="107"/>
    <n v="16"/>
    <n v="16"/>
    <x v="0"/>
    <x v="0"/>
    <s v="Pepperoni, Mushrooms, Red Onions, Red Peppers, Bacon"/>
    <x v="0"/>
  </r>
  <r>
    <x v="109"/>
    <s v="the_greek_xl"/>
    <s v="Elizabeth Ramirez"/>
    <n v="1"/>
    <x v="67"/>
    <x v="108"/>
    <n v="25.5"/>
    <n v="25.5"/>
    <x v="2"/>
    <x v="0"/>
    <s v="Kalamata Olives, Feta Cheese, Tomatoes, Garlic, Beef Chuck Roast, Red Onions"/>
    <x v="4"/>
  </r>
  <r>
    <x v="110"/>
    <s v="pepperoni_l"/>
    <s v="Emily Nelson"/>
    <n v="1"/>
    <x v="67"/>
    <x v="109"/>
    <n v="15.25"/>
    <n v="15.25"/>
    <x v="1"/>
    <x v="0"/>
    <s v="Mozzarella Cheese, Pepperoni"/>
    <x v="5"/>
  </r>
  <r>
    <x v="111"/>
    <s v="the_greek_xl"/>
    <s v="Brianna Lee"/>
    <n v="1"/>
    <x v="68"/>
    <x v="110"/>
    <n v="25.5"/>
    <n v="25.5"/>
    <x v="2"/>
    <x v="0"/>
    <s v="Kalamata Olives, Feta Cheese, Tomatoes, Garlic, Beef Chuck Roast, Red Onions"/>
    <x v="4"/>
  </r>
  <r>
    <x v="112"/>
    <s v="ckn_alfredo_l"/>
    <s v="Brandon Harris"/>
    <n v="1"/>
    <x v="69"/>
    <x v="111"/>
    <n v="20.75"/>
    <n v="20.75"/>
    <x v="1"/>
    <x v="1"/>
    <s v="Chicken, Red Onions, Red Peppers, Mushrooms, Asiago Cheese, Alfredo Sauce"/>
    <x v="20"/>
  </r>
  <r>
    <x v="113"/>
    <s v="bbq_ckn_l"/>
    <s v="Christopher Turner"/>
    <n v="2"/>
    <x v="70"/>
    <x v="112"/>
    <n v="20.75"/>
    <n v="41.5"/>
    <x v="1"/>
    <x v="1"/>
    <s v="Barbecued Chicken, Red Peppers, Green Peppers, Tomatoes, Red Onions, Barbecue Sauce"/>
    <x v="13"/>
  </r>
  <r>
    <x v="114"/>
    <s v="thai_ckn_l"/>
    <s v="Justin Campbell"/>
    <n v="1"/>
    <x v="70"/>
    <x v="113"/>
    <n v="20.75"/>
    <n v="20.75"/>
    <x v="1"/>
    <x v="1"/>
    <s v="Chicken, Pineapple, Tomatoes, Red Peppers, Thai Sweet Chilli Sauce"/>
    <x v="17"/>
  </r>
  <r>
    <x v="115"/>
    <s v="bbq_ckn_m"/>
    <s v="Dylan Carter"/>
    <n v="1"/>
    <x v="71"/>
    <x v="114"/>
    <n v="16.75"/>
    <n v="16.75"/>
    <x v="0"/>
    <x v="1"/>
    <s v="Barbecued Chicken, Red Peppers, Green Peppers, Tomatoes, Red Onions, Barbecue Sauce"/>
    <x v="13"/>
  </r>
  <r>
    <x v="116"/>
    <s v="four_cheese_l"/>
    <s v="John Campbell"/>
    <n v="1"/>
    <x v="71"/>
    <x v="115"/>
    <n v="17.95"/>
    <n v="17.95"/>
    <x v="1"/>
    <x v="2"/>
    <s v="Ricotta Cheese, Gorgonzola Piccante Cheese, Mozzarella Cheese, Parmigiano Reggiano Cheese, Garlic"/>
    <x v="9"/>
  </r>
  <r>
    <x v="117"/>
    <s v="pepperoni_s"/>
    <s v="Daniel Scott"/>
    <n v="1"/>
    <x v="71"/>
    <x v="116"/>
    <n v="9.75"/>
    <n v="9.75"/>
    <x v="3"/>
    <x v="0"/>
    <s v="Mozzarella Cheese, Pepperoni"/>
    <x v="5"/>
  </r>
  <r>
    <x v="118"/>
    <s v="spicy_ital_l"/>
    <s v="Lauren Brown"/>
    <n v="1"/>
    <x v="72"/>
    <x v="117"/>
    <n v="20.75"/>
    <n v="20.75"/>
    <x v="1"/>
    <x v="3"/>
    <s v="Capocollo, Tomatoes, Goat Cheese, Artichokes, Peperoncini verdi, Garlic"/>
    <x v="10"/>
  </r>
  <r>
    <x v="119"/>
    <s v="five_cheese_l"/>
    <s v="Kayla Phillips"/>
    <n v="1"/>
    <x v="72"/>
    <x v="118"/>
    <n v="18.5"/>
    <n v="18.5"/>
    <x v="1"/>
    <x v="2"/>
    <s v="Mozzarella Cheese, Provolone Cheese, Smoked Gouda Cheese, Romano Cheese, Blue Cheese, Garlic"/>
    <x v="2"/>
  </r>
  <r>
    <x v="120"/>
    <s v="ital_cpcllo_m"/>
    <s v="Hannah Miller"/>
    <n v="1"/>
    <x v="72"/>
    <x v="119"/>
    <n v="16"/>
    <n v="16"/>
    <x v="0"/>
    <x v="0"/>
    <s v="Capocollo, Red Peppers, Tomatoes, Goat Cheese, Garlic, Oregano"/>
    <x v="25"/>
  </r>
  <r>
    <x v="121"/>
    <s v="cali_ckn_m"/>
    <s v="Emily Brown"/>
    <n v="1"/>
    <x v="73"/>
    <x v="120"/>
    <n v="16.75"/>
    <n v="16.75"/>
    <x v="0"/>
    <x v="1"/>
    <s v="Chicken, Artichoke, Spinach, Garlic, Jalapeno Peppers, Fontina Cheese, Gouda Cheese"/>
    <x v="1"/>
  </r>
  <r>
    <x v="122"/>
    <s v="ital_supr_m"/>
    <s v="Elizabeth Roberts"/>
    <n v="1"/>
    <x v="74"/>
    <x v="121"/>
    <n v="16.5"/>
    <n v="16.5"/>
    <x v="0"/>
    <x v="3"/>
    <s v="Calabrese Salami, Capocollo, Tomatoes, Red Onions, Green Olives, Garlic"/>
    <x v="7"/>
  </r>
  <r>
    <x v="123"/>
    <s v="sicilian_m"/>
    <s v="Madison Evans"/>
    <n v="1"/>
    <x v="75"/>
    <x v="122"/>
    <n v="16.25"/>
    <n v="16.25"/>
    <x v="0"/>
    <x v="3"/>
    <s v="Coarse Sicilian Salami, Tomatoes, Green Olives, Luganega Sausage, Onions, Garlic"/>
    <x v="12"/>
  </r>
  <r>
    <x v="124"/>
    <s v="veggie_veg_l"/>
    <s v="Noah Scott"/>
    <n v="1"/>
    <x v="75"/>
    <x v="123"/>
    <n v="20.25"/>
    <n v="20.25"/>
    <x v="1"/>
    <x v="2"/>
    <s v="Mushrooms, Tomatoes, Red Peppers, Green Peppers, Red Onions, Zucchini, Spinach, Garlic"/>
    <x v="19"/>
  </r>
  <r>
    <x v="125"/>
    <s v="thai_ckn_l"/>
    <s v="John Hill"/>
    <n v="1"/>
    <x v="76"/>
    <x v="124"/>
    <n v="20.75"/>
    <n v="20.75"/>
    <x v="1"/>
    <x v="1"/>
    <s v="Chicken, Pineapple, Tomatoes, Red Peppers, Thai Sweet Chilli Sauce"/>
    <x v="17"/>
  </r>
  <r>
    <x v="126"/>
    <s v="ital_veggie_m"/>
    <s v="Michael Collins"/>
    <n v="1"/>
    <x v="76"/>
    <x v="125"/>
    <n v="16.75"/>
    <n v="16.75"/>
    <x v="0"/>
    <x v="2"/>
    <s v="Eggplant, Artichokes, Tomatoes, Zucchini, Red Peppers, Garlic, Pesto Sauce"/>
    <x v="11"/>
  </r>
  <r>
    <x v="127"/>
    <s v="calabrese_m"/>
    <s v="James Wright"/>
    <n v="1"/>
    <x v="77"/>
    <x v="126"/>
    <n v="16.25"/>
    <n v="16.25"/>
    <x v="0"/>
    <x v="3"/>
    <s v="慛duja Salami, Pancetta, Tomatoes, Red Onions, Friggitello Peppers, Garlic"/>
    <x v="22"/>
  </r>
  <r>
    <x v="128"/>
    <s v="spinach_fet_s"/>
    <s v="Joseph Jones"/>
    <n v="1"/>
    <x v="78"/>
    <x v="127"/>
    <n v="12"/>
    <n v="12"/>
    <x v="3"/>
    <x v="2"/>
    <s v="Spinach, Mushrooms, Red Onions, Feta Cheese, Garlic"/>
    <x v="28"/>
  </r>
  <r>
    <x v="129"/>
    <s v="southw_ckn_l"/>
    <s v="Brianna Lopez"/>
    <n v="1"/>
    <x v="79"/>
    <x v="128"/>
    <n v="20.75"/>
    <n v="20.75"/>
    <x v="1"/>
    <x v="1"/>
    <s v="Chicken, Tomatoes, Red Peppers, Red Onions, Jalapeno Peppers, Corn, Cilantro, Chipotle Sauce"/>
    <x v="15"/>
  </r>
  <r>
    <x v="130"/>
    <s v="big_meat_s"/>
    <s v="Emily Young"/>
    <n v="4"/>
    <x v="79"/>
    <x v="129"/>
    <n v="12"/>
    <n v="48"/>
    <x v="3"/>
    <x v="0"/>
    <s v="Bacon, Pepperoni, Italian Sausage, Chorizo Sausage"/>
    <x v="24"/>
  </r>
  <r>
    <x v="131"/>
    <s v="pepperoni_m"/>
    <s v="Christopher Martinez"/>
    <n v="1"/>
    <x v="80"/>
    <x v="130"/>
    <n v="12.5"/>
    <n v="12.5"/>
    <x v="0"/>
    <x v="0"/>
    <s v="Mozzarella Cheese, Pepperoni"/>
    <x v="5"/>
  </r>
  <r>
    <x v="132"/>
    <s v="hawaiian_s"/>
    <s v="Sophia Perez"/>
    <n v="1"/>
    <x v="80"/>
    <x v="131"/>
    <n v="10.5"/>
    <n v="10.5"/>
    <x v="3"/>
    <x v="0"/>
    <s v="Sliced Ham, Pineapple, Mozzarella Cheese"/>
    <x v="18"/>
  </r>
  <r>
    <x v="133"/>
    <s v="big_meat_s"/>
    <s v="Anthony Nelson"/>
    <n v="1"/>
    <x v="81"/>
    <x v="132"/>
    <n v="12"/>
    <n v="12"/>
    <x v="3"/>
    <x v="0"/>
    <s v="Bacon, Pepperoni, Italian Sausage, Chorizo Sausage"/>
    <x v="24"/>
  </r>
  <r>
    <x v="134"/>
    <s v="pepperoni_s"/>
    <s v="Courtney Baker"/>
    <n v="1"/>
    <x v="82"/>
    <x v="133"/>
    <n v="9.75"/>
    <n v="9.75"/>
    <x v="3"/>
    <x v="0"/>
    <s v="Mozzarella Cheese, Pepperoni"/>
    <x v="5"/>
  </r>
  <r>
    <x v="135"/>
    <s v="soppressata_l"/>
    <s v="Jacob Gonzalez"/>
    <n v="1"/>
    <x v="82"/>
    <x v="134"/>
    <n v="20.75"/>
    <n v="20.75"/>
    <x v="1"/>
    <x v="3"/>
    <s v="Soppressata Salami, Fontina Cheese, Mozzarella Cheese, Mushrooms, Garlic"/>
    <x v="3"/>
  </r>
  <r>
    <x v="136"/>
    <s v="napolitana_m"/>
    <s v="Ryan Phillips"/>
    <n v="1"/>
    <x v="83"/>
    <x v="135"/>
    <n v="16"/>
    <n v="16"/>
    <x v="0"/>
    <x v="0"/>
    <s v="Tomatoes, Anchovies, Green Olives, Red Onions, Garlic"/>
    <x v="26"/>
  </r>
  <r>
    <x v="137"/>
    <s v="bbq_ckn_l"/>
    <s v="Sophia Sanchez"/>
    <n v="1"/>
    <x v="83"/>
    <x v="136"/>
    <n v="20.75"/>
    <n v="20.75"/>
    <x v="1"/>
    <x v="1"/>
    <s v="Barbecued Chicken, Red Peppers, Green Peppers, Tomatoes, Red Onions, Barbecue Sauce"/>
    <x v="13"/>
  </r>
  <r>
    <x v="138"/>
    <s v="classic_dlx_s"/>
    <s v="Ryan Miller"/>
    <n v="1"/>
    <x v="83"/>
    <x v="137"/>
    <n v="12"/>
    <n v="12"/>
    <x v="3"/>
    <x v="0"/>
    <s v="Pepperoni, Mushrooms, Red Onions, Red Peppers, Bacon"/>
    <x v="0"/>
  </r>
  <r>
    <x v="139"/>
    <s v="four_cheese_l"/>
    <s v="Noah Lee"/>
    <n v="1"/>
    <x v="84"/>
    <x v="138"/>
    <n v="17.95"/>
    <n v="17.95"/>
    <x v="1"/>
    <x v="2"/>
    <s v="Ricotta Cheese, Gorgonzola Piccante Cheese, Mozzarella Cheese, Parmigiano Reggiano Cheese, Garlic"/>
    <x v="9"/>
  </r>
  <r>
    <x v="140"/>
    <s v="cali_ckn_m"/>
    <s v="Sarah Thompson"/>
    <n v="1"/>
    <x v="84"/>
    <x v="139"/>
    <n v="16.75"/>
    <n v="16.75"/>
    <x v="0"/>
    <x v="1"/>
    <s v="Chicken, Artichoke, Spinach, Garlic, Jalapeno Peppers, Fontina Cheese, Gouda Cheese"/>
    <x v="1"/>
  </r>
  <r>
    <x v="141"/>
    <s v="mediterraneo_s"/>
    <s v="Olivia King"/>
    <n v="1"/>
    <x v="84"/>
    <x v="140"/>
    <n v="12"/>
    <n v="12"/>
    <x v="3"/>
    <x v="2"/>
    <s v="Spinach, Artichokes, Kalamata Olives, Sun-dried Tomatoes, Feta Cheese, Plum Tomatoes, Red Onions"/>
    <x v="16"/>
  </r>
  <r>
    <x v="142"/>
    <s v="mexicana_m"/>
    <s v="William Ramirez"/>
    <n v="1"/>
    <x v="84"/>
    <x v="141"/>
    <n v="16"/>
    <n v="16"/>
    <x v="0"/>
    <x v="2"/>
    <s v="Tomatoes, Red Peppers, Jalapeno Peppers, Red Onions, Cilantro, Corn, Chipotle Sauce, Garlic"/>
    <x v="8"/>
  </r>
  <r>
    <x v="143"/>
    <s v="prsc_argla_l"/>
    <s v="Joseph Lee"/>
    <n v="1"/>
    <x v="84"/>
    <x v="141"/>
    <n v="20.75"/>
    <n v="20.75"/>
    <x v="1"/>
    <x v="3"/>
    <s v="Prosciutto di San Daniele, Arugula, Mozzarella Cheese"/>
    <x v="6"/>
  </r>
  <r>
    <x v="144"/>
    <s v="pepperoni_s"/>
    <s v="Ethan Williams"/>
    <n v="1"/>
    <x v="84"/>
    <x v="142"/>
    <n v="9.75"/>
    <n v="9.75"/>
    <x v="3"/>
    <x v="0"/>
    <s v="Mozzarella Cheese, Pepperoni"/>
    <x v="5"/>
  </r>
  <r>
    <x v="145"/>
    <s v="four_cheese_l"/>
    <s v="Andrew Jackson"/>
    <n v="1"/>
    <x v="84"/>
    <x v="143"/>
    <n v="17.95"/>
    <n v="17.95"/>
    <x v="1"/>
    <x v="2"/>
    <s v="Ricotta Cheese, Gorgonzola Piccante Cheese, Mozzarella Cheese, Parmigiano Reggiano Cheese, Garlic"/>
    <x v="9"/>
  </r>
  <r>
    <x v="146"/>
    <s v="the_greek_xl"/>
    <s v="Noah Scott"/>
    <n v="1"/>
    <x v="85"/>
    <x v="144"/>
    <n v="25.5"/>
    <n v="25.5"/>
    <x v="2"/>
    <x v="0"/>
    <s v="Kalamata Olives, Feta Cheese, Tomatoes, Garlic, Beef Chuck Roast, Red Onions"/>
    <x v="4"/>
  </r>
  <r>
    <x v="147"/>
    <s v="five_cheese_l"/>
    <s v="Brittany King"/>
    <n v="1"/>
    <x v="85"/>
    <x v="145"/>
    <n v="18.5"/>
    <n v="18.5"/>
    <x v="1"/>
    <x v="2"/>
    <s v="Mozzarella Cheese, Provolone Cheese, Smoked Gouda Cheese, Romano Cheese, Blue Cheese, Garlic"/>
    <x v="2"/>
  </r>
  <r>
    <x v="148"/>
    <s v="southw_ckn_s"/>
    <s v="Rachel Hill"/>
    <n v="1"/>
    <x v="85"/>
    <x v="146"/>
    <n v="12.75"/>
    <n v="12.75"/>
    <x v="3"/>
    <x v="1"/>
    <s v="Chicken, Tomatoes, Red Peppers, Red Onions, Jalapeno Peppers, Corn, Cilantro, Chipotle Sauce"/>
    <x v="15"/>
  </r>
  <r>
    <x v="149"/>
    <s v="ital_supr_l"/>
    <s v="Amanda Green"/>
    <n v="1"/>
    <x v="86"/>
    <x v="147"/>
    <n v="20.75"/>
    <n v="20.75"/>
    <x v="1"/>
    <x v="3"/>
    <s v="Calabrese Salami, Capocollo, Tomatoes, Red Onions, Green Olives, Garlic"/>
    <x v="7"/>
  </r>
  <r>
    <x v="150"/>
    <s v="hawaiian_l"/>
    <s v="Rachel Johnson"/>
    <n v="1"/>
    <x v="86"/>
    <x v="148"/>
    <n v="16.5"/>
    <n v="16.5"/>
    <x v="1"/>
    <x v="0"/>
    <s v="Sliced Ham, Pineapple, Mozzarella Cheese"/>
    <x v="18"/>
  </r>
  <r>
    <x v="151"/>
    <s v="cali_ckn_s"/>
    <s v="Victoria Roberts"/>
    <n v="1"/>
    <x v="87"/>
    <x v="149"/>
    <n v="12.75"/>
    <n v="12.75"/>
    <x v="3"/>
    <x v="1"/>
    <s v="Chicken, Artichoke, Spinach, Garlic, Jalapeno Peppers, Fontina Cheese, Gouda Cheese"/>
    <x v="1"/>
  </r>
  <r>
    <x v="152"/>
    <s v="classic_dlx_m"/>
    <s v="Justin Nelson"/>
    <n v="1"/>
    <x v="87"/>
    <x v="150"/>
    <n v="16"/>
    <n v="16"/>
    <x v="0"/>
    <x v="0"/>
    <s v="Pepperoni, Mushrooms, Red Onions, Red Peppers, Bacon"/>
    <x v="0"/>
  </r>
  <r>
    <x v="153"/>
    <s v="mexicana_l"/>
    <s v="Ashley Nelson"/>
    <n v="1"/>
    <x v="87"/>
    <x v="151"/>
    <n v="20.25"/>
    <n v="20.25"/>
    <x v="1"/>
    <x v="2"/>
    <s v="Tomatoes, Red Peppers, Jalapeno Peppers, Red Onions, Cilantro, Corn, Chipotle Sauce, Garlic"/>
    <x v="8"/>
  </r>
  <r>
    <x v="154"/>
    <s v="soppressata_m"/>
    <s v="Christopher Jackson"/>
    <n v="1"/>
    <x v="88"/>
    <x v="152"/>
    <n v="16.5"/>
    <n v="16.5"/>
    <x v="0"/>
    <x v="3"/>
    <s v="Soppressata Salami, Fontina Cheese, Mozzarella Cheese, Mushrooms, Garlic"/>
    <x v="3"/>
  </r>
  <r>
    <x v="155"/>
    <s v="ckn_pesto_l"/>
    <s v="Joseph Evans"/>
    <n v="1"/>
    <x v="88"/>
    <x v="153"/>
    <n v="20.75"/>
    <n v="20.75"/>
    <x v="1"/>
    <x v="1"/>
    <s v="Chicken, Tomatoes, Red Peppers, Spinach, Garlic, Pesto Sauce"/>
    <x v="21"/>
  </r>
  <r>
    <x v="156"/>
    <s v="mediterraneo_m"/>
    <s v="Hannah Phillips"/>
    <n v="1"/>
    <x v="88"/>
    <x v="154"/>
    <n v="16"/>
    <n v="16"/>
    <x v="0"/>
    <x v="2"/>
    <s v="Spinach, Artichokes, Kalamata Olives, Sun-dried Tomatoes, Feta Cheese, Plum Tomatoes, Red Onions"/>
    <x v="16"/>
  </r>
  <r>
    <x v="157"/>
    <s v="ckn_pesto_l"/>
    <s v="Dylan Robinson"/>
    <n v="1"/>
    <x v="88"/>
    <x v="155"/>
    <n v="20.75"/>
    <n v="20.75"/>
    <x v="1"/>
    <x v="1"/>
    <s v="Chicken, Tomatoes, Red Peppers, Spinach, Garlic, Pesto Sauce"/>
    <x v="21"/>
  </r>
  <r>
    <x v="158"/>
    <s v="veggie_veg_l"/>
    <s v="Lauren King"/>
    <n v="1"/>
    <x v="89"/>
    <x v="156"/>
    <n v="20.25"/>
    <n v="20.25"/>
    <x v="1"/>
    <x v="2"/>
    <s v="Mushrooms, Tomatoes, Red Peppers, Green Peppers, Red Onions, Zucchini, Spinach, Garlic"/>
    <x v="19"/>
  </r>
  <r>
    <x v="159"/>
    <s v="four_cheese_l"/>
    <s v="James Sanchez"/>
    <n v="1"/>
    <x v="90"/>
    <x v="157"/>
    <n v="17.95"/>
    <n v="17.95"/>
    <x v="1"/>
    <x v="2"/>
    <s v="Ricotta Cheese, Gorgonzola Piccante Cheese, Mozzarella Cheese, Parmigiano Reggiano Cheese, Garlic"/>
    <x v="9"/>
  </r>
  <r>
    <x v="160"/>
    <s v="mexicana_l"/>
    <s v="Megan Thomas"/>
    <n v="1"/>
    <x v="91"/>
    <x v="158"/>
    <n v="20.25"/>
    <n v="20.25"/>
    <x v="1"/>
    <x v="2"/>
    <s v="Tomatoes, Red Peppers, Jalapeno Peppers, Red Onions, Cilantro, Corn, Chipotle Sauce, Garlic"/>
    <x v="8"/>
  </r>
  <r>
    <x v="161"/>
    <s v="thai_ckn_l"/>
    <s v="Rachel Evans"/>
    <n v="1"/>
    <x v="92"/>
    <x v="159"/>
    <n v="20.75"/>
    <n v="20.75"/>
    <x v="1"/>
    <x v="1"/>
    <s v="Chicken, Pineapple, Tomatoes, Red Peppers, Thai Sweet Chilli Sauce"/>
    <x v="17"/>
  </r>
  <r>
    <x v="162"/>
    <s v="ital_cpcllo_l"/>
    <s v="Alexis Davis"/>
    <n v="1"/>
    <x v="93"/>
    <x v="160"/>
    <n v="20.5"/>
    <n v="20.5"/>
    <x v="1"/>
    <x v="0"/>
    <s v="Capocollo, Red Peppers, Tomatoes, Goat Cheese, Garlic, Oregano"/>
    <x v="25"/>
  </r>
  <r>
    <x v="163"/>
    <s v="green_garden_s"/>
    <s v="Zachary Garcia"/>
    <n v="1"/>
    <x v="93"/>
    <x v="161"/>
    <n v="12"/>
    <n v="12"/>
    <x v="3"/>
    <x v="2"/>
    <s v="Spinach, Mushrooms, Tomatoes, Green Olives, Feta Cheese"/>
    <x v="27"/>
  </r>
  <r>
    <x v="164"/>
    <s v="mediterraneo_s"/>
    <s v="Joseph Garcia"/>
    <n v="1"/>
    <x v="93"/>
    <x v="162"/>
    <n v="12"/>
    <n v="12"/>
    <x v="3"/>
    <x v="2"/>
    <s v="Spinach, Artichokes, Kalamata Olives, Sun-dried Tomatoes, Feta Cheese, Plum Tomatoes, Red Onions"/>
    <x v="16"/>
  </r>
  <r>
    <x v="165"/>
    <s v="spinach_fet_l"/>
    <s v="Emily Parker"/>
    <n v="1"/>
    <x v="94"/>
    <x v="163"/>
    <n v="20.25"/>
    <n v="20.25"/>
    <x v="1"/>
    <x v="2"/>
    <s v="Spinach, Mushrooms, Red Onions, Feta Cheese, Garlic"/>
    <x v="28"/>
  </r>
  <r>
    <x v="166"/>
    <s v="napolitana_m"/>
    <s v="James Roberts"/>
    <n v="1"/>
    <x v="95"/>
    <x v="164"/>
    <n v="16"/>
    <n v="16"/>
    <x v="0"/>
    <x v="0"/>
    <s v="Tomatoes, Anchovies, Green Olives, Red Onions, Garlic"/>
    <x v="26"/>
  </r>
  <r>
    <x v="167"/>
    <s v="classic_dlx_m"/>
    <s v="Ryan Thomas"/>
    <n v="1"/>
    <x v="95"/>
    <x v="165"/>
    <n v="16"/>
    <n v="16"/>
    <x v="0"/>
    <x v="0"/>
    <s v="Pepperoni, Mushrooms, Red Onions, Red Peppers, Bacon"/>
    <x v="0"/>
  </r>
  <r>
    <x v="168"/>
    <s v="mediterraneo_l"/>
    <s v="Alexis Harris"/>
    <n v="1"/>
    <x v="96"/>
    <x v="166"/>
    <n v="20.25"/>
    <n v="20.25"/>
    <x v="1"/>
    <x v="2"/>
    <s v="Spinach, Artichokes, Kalamata Olives, Sun-dried Tomatoes, Feta Cheese, Plum Tomatoes, Red Onions"/>
    <x v="16"/>
  </r>
  <r>
    <x v="169"/>
    <s v="spin_pesto_s"/>
    <s v="Taylor Gonzalez"/>
    <n v="1"/>
    <x v="96"/>
    <x v="167"/>
    <n v="12.5"/>
    <n v="12.5"/>
    <x v="3"/>
    <x v="2"/>
    <s v="Spinach, Artichokes, Tomatoes, Sun-dried Tomatoes, Garlic, Pesto Sauce"/>
    <x v="23"/>
  </r>
  <r>
    <x v="170"/>
    <s v="southw_ckn_l"/>
    <s v="Megan Robinson"/>
    <n v="1"/>
    <x v="97"/>
    <x v="168"/>
    <n v="20.75"/>
    <n v="20.75"/>
    <x v="1"/>
    <x v="1"/>
    <s v="Chicken, Tomatoes, Red Peppers, Red Onions, Jalapeno Peppers, Corn, Cilantro, Chipotle Sauce"/>
    <x v="15"/>
  </r>
  <r>
    <x v="171"/>
    <s v="southw_ckn_l"/>
    <s v="Nicholas Roberts"/>
    <n v="1"/>
    <x v="97"/>
    <x v="169"/>
    <n v="20.75"/>
    <n v="20.75"/>
    <x v="1"/>
    <x v="1"/>
    <s v="Chicken, Tomatoes, Red Peppers, Red Onions, Jalapeno Peppers, Corn, Cilantro, Chipotle Sauce"/>
    <x v="15"/>
  </r>
  <r>
    <x v="172"/>
    <s v="the_greek_xl"/>
    <s v="Jessica White"/>
    <n v="1"/>
    <x v="97"/>
    <x v="170"/>
    <n v="25.5"/>
    <n v="25.5"/>
    <x v="2"/>
    <x v="0"/>
    <s v="Kalamata Olives, Feta Cheese, Tomatoes, Garlic, Beef Chuck Roast, Red Onions"/>
    <x v="4"/>
  </r>
  <r>
    <x v="173"/>
    <s v="sicilian_s"/>
    <s v="Stephanie Lee"/>
    <n v="1"/>
    <x v="98"/>
    <x v="171"/>
    <n v="12.25"/>
    <n v="12.25"/>
    <x v="3"/>
    <x v="3"/>
    <s v="Coarse Sicilian Salami, Tomatoes, Green Olives, Luganega Sausage, Onions, Garlic"/>
    <x v="12"/>
  </r>
  <r>
    <x v="174"/>
    <s v="thai_ckn_m"/>
    <s v="Ryan Hill"/>
    <n v="1"/>
    <x v="98"/>
    <x v="172"/>
    <n v="16.75"/>
    <n v="16.75"/>
    <x v="0"/>
    <x v="1"/>
    <s v="Chicken, Pineapple, Tomatoes, Red Peppers, Thai Sweet Chilli Sauce"/>
    <x v="17"/>
  </r>
  <r>
    <x v="175"/>
    <s v="peppr_salami_m"/>
    <s v="Ashley Wright"/>
    <n v="1"/>
    <x v="99"/>
    <x v="173"/>
    <n v="16.5"/>
    <n v="16.5"/>
    <x v="0"/>
    <x v="3"/>
    <s v="Genoa Salami, Capocollo, Pepperoni, Tomatoes, Asiago Cheese, Garlic"/>
    <x v="14"/>
  </r>
  <r>
    <x v="176"/>
    <s v="big_meat_s"/>
    <s v="Ryan Clark"/>
    <n v="1"/>
    <x v="100"/>
    <x v="174"/>
    <n v="12"/>
    <n v="12"/>
    <x v="3"/>
    <x v="0"/>
    <s v="Bacon, Pepperoni, Italian Sausage, Chorizo Sausage"/>
    <x v="24"/>
  </r>
  <r>
    <x v="177"/>
    <s v="big_meat_s"/>
    <s v="Brittany Wright"/>
    <n v="1"/>
    <x v="100"/>
    <x v="175"/>
    <n v="12"/>
    <n v="12"/>
    <x v="3"/>
    <x v="0"/>
    <s v="Bacon, Pepperoni, Italian Sausage, Chorizo Sausage"/>
    <x v="24"/>
  </r>
  <r>
    <x v="178"/>
    <s v="calabrese_m"/>
    <s v="Jennifer Harris"/>
    <n v="1"/>
    <x v="100"/>
    <x v="176"/>
    <n v="16.25"/>
    <n v="16.25"/>
    <x v="0"/>
    <x v="3"/>
    <s v="慛duja Salami, Pancetta, Tomatoes, Red Onions, Friggitello Peppers, Garlic"/>
    <x v="22"/>
  </r>
  <r>
    <x v="179"/>
    <s v="big_meat_s"/>
    <s v="Madison Hill"/>
    <n v="1"/>
    <x v="101"/>
    <x v="177"/>
    <n v="12"/>
    <n v="12"/>
    <x v="3"/>
    <x v="0"/>
    <s v="Bacon, Pepperoni, Italian Sausage, Chorizo Sausage"/>
    <x v="24"/>
  </r>
  <r>
    <x v="180"/>
    <s v="spin_pesto_m"/>
    <s v="Elizabeth Collins"/>
    <n v="1"/>
    <x v="102"/>
    <x v="178"/>
    <n v="16.5"/>
    <n v="16.5"/>
    <x v="0"/>
    <x v="2"/>
    <s v="Spinach, Artichokes, Tomatoes, Sun-dried Tomatoes, Garlic, Pesto Sauce"/>
    <x v="23"/>
  </r>
  <r>
    <x v="181"/>
    <s v="ckn_pesto_m"/>
    <s v="Noah Ramirez"/>
    <n v="1"/>
    <x v="103"/>
    <x v="179"/>
    <n v="16.75"/>
    <n v="16.75"/>
    <x v="0"/>
    <x v="1"/>
    <s v="Chicken, Tomatoes, Red Peppers, Spinach, Garlic, Pesto Sauce"/>
    <x v="21"/>
  </r>
  <r>
    <x v="182"/>
    <s v="napolitana_s"/>
    <s v="Megan Mitchell"/>
    <n v="1"/>
    <x v="103"/>
    <x v="179"/>
    <n v="12"/>
    <n v="12"/>
    <x v="3"/>
    <x v="0"/>
    <s v="Tomatoes, Anchovies, Green Olives, Red Onions, Garlic"/>
    <x v="26"/>
  </r>
  <r>
    <x v="183"/>
    <s v="soppressata_s"/>
    <s v="Logan Moore"/>
    <n v="1"/>
    <x v="103"/>
    <x v="179"/>
    <n v="12.5"/>
    <n v="12.5"/>
    <x v="3"/>
    <x v="3"/>
    <s v="Soppressata Salami, Fontina Cheese, Mozzarella Cheese, Mushrooms, Garlic"/>
    <x v="3"/>
  </r>
  <r>
    <x v="184"/>
    <s v="spinach_supr_l"/>
    <s v="Emily Harris"/>
    <n v="1"/>
    <x v="103"/>
    <x v="180"/>
    <n v="20.75"/>
    <n v="20.75"/>
    <x v="1"/>
    <x v="3"/>
    <s v="Spinach, Red Onions, Pepperoni, Tomatoes, Artichokes, Kalamata Olives, Garlic, Asiago Cheese"/>
    <x v="29"/>
  </r>
  <r>
    <x v="185"/>
    <s v="veggie_veg_s"/>
    <s v="Jessica Martin"/>
    <n v="1"/>
    <x v="104"/>
    <x v="181"/>
    <n v="12"/>
    <n v="12"/>
    <x v="3"/>
    <x v="2"/>
    <s v="Mushrooms, Tomatoes, Red Peppers, Green Peppers, Red Onions, Zucchini, Spinach, Garlic"/>
    <x v="19"/>
  </r>
  <r>
    <x v="186"/>
    <s v="ckn_pesto_l"/>
    <s v="Sarah Anderson"/>
    <n v="1"/>
    <x v="104"/>
    <x v="182"/>
    <n v="20.75"/>
    <n v="20.75"/>
    <x v="1"/>
    <x v="1"/>
    <s v="Chicken, Tomatoes, Red Peppers, Spinach, Garlic, Pesto Sauce"/>
    <x v="21"/>
  </r>
  <r>
    <x v="187"/>
    <s v="ital_veggie_m"/>
    <s v="Joshua Moore"/>
    <n v="1"/>
    <x v="104"/>
    <x v="183"/>
    <n v="16.75"/>
    <n v="16.75"/>
    <x v="0"/>
    <x v="2"/>
    <s v="Eggplant, Artichokes, Tomatoes, Zucchini, Red Peppers, Garlic, Pesto Sauce"/>
    <x v="11"/>
  </r>
  <r>
    <x v="188"/>
    <s v="big_meat_s"/>
    <s v="Brianna Thomas"/>
    <n v="1"/>
    <x v="104"/>
    <x v="155"/>
    <n v="12"/>
    <n v="12"/>
    <x v="3"/>
    <x v="0"/>
    <s v="Bacon, Pepperoni, Italian Sausage, Chorizo Sausage"/>
    <x v="24"/>
  </r>
  <r>
    <x v="189"/>
    <s v="thai_ckn_l"/>
    <s v="Brianna Evans"/>
    <n v="1"/>
    <x v="105"/>
    <x v="184"/>
    <n v="20.75"/>
    <n v="20.75"/>
    <x v="1"/>
    <x v="1"/>
    <s v="Chicken, Pineapple, Tomatoes, Red Peppers, Thai Sweet Chilli Sauce"/>
    <x v="17"/>
  </r>
  <r>
    <x v="190"/>
    <s v="four_cheese_l"/>
    <s v="Tyler Young"/>
    <n v="1"/>
    <x v="105"/>
    <x v="185"/>
    <n v="17.95"/>
    <n v="17.95"/>
    <x v="1"/>
    <x v="2"/>
    <s v="Ricotta Cheese, Gorgonzola Piccante Cheese, Mozzarella Cheese, Parmigiano Reggiano Cheese, Garlic"/>
    <x v="9"/>
  </r>
  <r>
    <x v="191"/>
    <s v="cali_ckn_m"/>
    <s v="Stephanie Johnson"/>
    <n v="1"/>
    <x v="105"/>
    <x v="186"/>
    <n v="16.75"/>
    <n v="16.75"/>
    <x v="0"/>
    <x v="1"/>
    <s v="Chicken, Artichoke, Spinach, Garlic, Jalapeno Peppers, Fontina Cheese, Gouda Cheese"/>
    <x v="1"/>
  </r>
  <r>
    <x v="192"/>
    <s v="ital_cpcllo_l"/>
    <s v="Daniel Lewis"/>
    <n v="1"/>
    <x v="105"/>
    <x v="187"/>
    <n v="20.5"/>
    <n v="20.5"/>
    <x v="1"/>
    <x v="0"/>
    <s v="Capocollo, Red Peppers, Tomatoes, Goat Cheese, Garlic, Oregano"/>
    <x v="25"/>
  </r>
  <r>
    <x v="193"/>
    <s v="pepperoni_m"/>
    <s v="Elizabeth Parker"/>
    <n v="1"/>
    <x v="106"/>
    <x v="188"/>
    <n v="12.5"/>
    <n v="12.5"/>
    <x v="0"/>
    <x v="0"/>
    <s v="Mozzarella Cheese, Pepperoni"/>
    <x v="5"/>
  </r>
  <r>
    <x v="194"/>
    <s v="ital_supr_l"/>
    <s v="Dylan Parker"/>
    <n v="1"/>
    <x v="107"/>
    <x v="189"/>
    <n v="20.75"/>
    <n v="20.75"/>
    <x v="1"/>
    <x v="3"/>
    <s v="Calabrese Salami, Capocollo, Tomatoes, Red Onions, Green Olives, Garlic"/>
    <x v="7"/>
  </r>
  <r>
    <x v="195"/>
    <s v="hawaiian_s"/>
    <s v="Ethan Anderson"/>
    <n v="1"/>
    <x v="107"/>
    <x v="190"/>
    <n v="10.5"/>
    <n v="10.5"/>
    <x v="3"/>
    <x v="0"/>
    <s v="Sliced Ham, Pineapple, Mozzarella Cheese"/>
    <x v="18"/>
  </r>
  <r>
    <x v="196"/>
    <s v="thai_ckn_l"/>
    <s v="Anthony Jones"/>
    <n v="1"/>
    <x v="108"/>
    <x v="191"/>
    <n v="20.75"/>
    <n v="20.75"/>
    <x v="1"/>
    <x v="1"/>
    <s v="Chicken, Pineapple, Tomatoes, Red Peppers, Thai Sweet Chilli Sauce"/>
    <x v="17"/>
  </r>
  <r>
    <x v="197"/>
    <s v="spin_pesto_l"/>
    <s v="Joseph Smith"/>
    <n v="1"/>
    <x v="108"/>
    <x v="192"/>
    <n v="20.75"/>
    <n v="20.75"/>
    <x v="1"/>
    <x v="2"/>
    <s v="Spinach, Artichokes, Tomatoes, Sun-dried Tomatoes, Garlic, Pesto Sauce"/>
    <x v="23"/>
  </r>
  <r>
    <x v="198"/>
    <s v="four_cheese_l"/>
    <s v="Tyler Martin"/>
    <n v="1"/>
    <x v="109"/>
    <x v="193"/>
    <n v="17.95"/>
    <n v="17.95"/>
    <x v="1"/>
    <x v="2"/>
    <s v="Ricotta Cheese, Gorgonzola Piccante Cheese, Mozzarella Cheese, Parmigiano Reggiano Cheese, Garlic"/>
    <x v="9"/>
  </r>
  <r>
    <x v="199"/>
    <s v="prsc_argla_l"/>
    <s v="Joseph Baker"/>
    <n v="1"/>
    <x v="109"/>
    <x v="194"/>
    <n v="20.75"/>
    <n v="20.75"/>
    <x v="1"/>
    <x v="3"/>
    <s v="Prosciutto di San Daniele, Arugula, Mozzarella Cheese"/>
    <x v="6"/>
  </r>
  <r>
    <x v="200"/>
    <s v="spicy_ital_s"/>
    <s v="John Miller"/>
    <n v="1"/>
    <x v="109"/>
    <x v="195"/>
    <n v="12.5"/>
    <n v="12.5"/>
    <x v="3"/>
    <x v="3"/>
    <s v="Capocollo, Tomatoes, Goat Cheese, Artichokes, Peperoncini verdi, Garlic"/>
    <x v="10"/>
  </r>
  <r>
    <x v="201"/>
    <s v="mediterraneo_m"/>
    <s v="Anthony Campbell"/>
    <n v="1"/>
    <x v="110"/>
    <x v="196"/>
    <n v="16"/>
    <n v="16"/>
    <x v="0"/>
    <x v="2"/>
    <s v="Spinach, Artichokes, Kalamata Olives, Sun-dried Tomatoes, Feta Cheese, Plum Tomatoes, Red Onions"/>
    <x v="16"/>
  </r>
  <r>
    <x v="202"/>
    <s v="veggie_veg_s"/>
    <s v="Noah Adams"/>
    <n v="1"/>
    <x v="110"/>
    <x v="197"/>
    <n v="12"/>
    <n v="12"/>
    <x v="3"/>
    <x v="2"/>
    <s v="Mushrooms, Tomatoes, Red Peppers, Green Peppers, Red Onions, Zucchini, Spinach, Garlic"/>
    <x v="19"/>
  </r>
  <r>
    <x v="203"/>
    <s v="five_cheese_l"/>
    <s v="Madison Allen"/>
    <n v="1"/>
    <x v="111"/>
    <x v="198"/>
    <n v="18.5"/>
    <n v="18.5"/>
    <x v="1"/>
    <x v="2"/>
    <s v="Mozzarella Cheese, Provolone Cheese, Smoked Gouda Cheese, Romano Cheese, Blue Cheese, Garlic"/>
    <x v="2"/>
  </r>
  <r>
    <x v="204"/>
    <s v="sicilian_s"/>
    <s v="Sarah Johnson"/>
    <n v="1"/>
    <x v="111"/>
    <x v="199"/>
    <n v="12.25"/>
    <n v="12.25"/>
    <x v="3"/>
    <x v="3"/>
    <s v="Coarse Sicilian Salami, Tomatoes, Green Olives, Luganega Sausage, Onions, Garlic"/>
    <x v="12"/>
  </r>
  <r>
    <x v="205"/>
    <s v="sicilian_l"/>
    <s v="Olivia Thompson"/>
    <n v="1"/>
    <x v="111"/>
    <x v="200"/>
    <n v="20.25"/>
    <n v="20.25"/>
    <x v="1"/>
    <x v="3"/>
    <s v="Coarse Sicilian Salami, Tomatoes, Green Olives, Luganega Sausage, Onions, Garlic"/>
    <x v="12"/>
  </r>
  <r>
    <x v="206"/>
    <s v="mediterraneo_l"/>
    <s v="Ethan White"/>
    <n v="1"/>
    <x v="112"/>
    <x v="201"/>
    <n v="20.25"/>
    <n v="20.25"/>
    <x v="1"/>
    <x v="2"/>
    <s v="Spinach, Artichokes, Kalamata Olives, Sun-dried Tomatoes, Feta Cheese, Plum Tomatoes, Red Onions"/>
    <x v="16"/>
  </r>
  <r>
    <x v="207"/>
    <s v="ckn_pesto_m"/>
    <s v="Noah Hall"/>
    <n v="1"/>
    <x v="113"/>
    <x v="202"/>
    <n v="16.75"/>
    <n v="16.75"/>
    <x v="0"/>
    <x v="1"/>
    <s v="Chicken, Tomatoes, Red Peppers, Spinach, Garlic, Pesto Sauce"/>
    <x v="21"/>
  </r>
  <r>
    <x v="208"/>
    <s v="peppr_salami_l"/>
    <s v="Dylan Baker"/>
    <n v="1"/>
    <x v="114"/>
    <x v="203"/>
    <n v="20.75"/>
    <n v="20.75"/>
    <x v="1"/>
    <x v="3"/>
    <s v="Genoa Salami, Capocollo, Pepperoni, Tomatoes, Asiago Cheese, Garlic"/>
    <x v="14"/>
  </r>
  <r>
    <x v="209"/>
    <s v="calabrese_m"/>
    <s v="Tyler Baker"/>
    <n v="1"/>
    <x v="115"/>
    <x v="204"/>
    <n v="16.25"/>
    <n v="16.25"/>
    <x v="0"/>
    <x v="3"/>
    <s v="慛duja Salami, Pancetta, Tomatoes, Red Onions, Friggitello Peppers, Garlic"/>
    <x v="22"/>
  </r>
  <r>
    <x v="210"/>
    <s v="pepperoni_m"/>
    <s v="Andrew Lee"/>
    <n v="1"/>
    <x v="115"/>
    <x v="205"/>
    <n v="12.5"/>
    <n v="12.5"/>
    <x v="0"/>
    <x v="0"/>
    <s v="Mozzarella Cheese, Pepperoni"/>
    <x v="5"/>
  </r>
  <r>
    <x v="211"/>
    <s v="pepperoni_m"/>
    <s v="Stephanie Roberts"/>
    <n v="1"/>
    <x v="115"/>
    <x v="206"/>
    <n v="12.5"/>
    <n v="12.5"/>
    <x v="0"/>
    <x v="0"/>
    <s v="Mozzarella Cheese, Pepperoni"/>
    <x v="5"/>
  </r>
  <r>
    <x v="212"/>
    <s v="ital_veggie_m"/>
    <s v="Nicholas Brown"/>
    <n v="1"/>
    <x v="116"/>
    <x v="207"/>
    <n v="16.75"/>
    <n v="16.75"/>
    <x v="0"/>
    <x v="2"/>
    <s v="Eggplant, Artichokes, Tomatoes, Zucchini, Red Peppers, Garlic, Pesto Sauce"/>
    <x v="11"/>
  </r>
  <r>
    <x v="213"/>
    <s v="prsc_argla_s"/>
    <s v="Robert Robinson"/>
    <n v="1"/>
    <x v="116"/>
    <x v="208"/>
    <n v="12.5"/>
    <n v="12.5"/>
    <x v="3"/>
    <x v="3"/>
    <s v="Prosciutto di San Daniele, Arugula, Mozzarella Cheese"/>
    <x v="6"/>
  </r>
  <r>
    <x v="214"/>
    <s v="spicy_ital_l"/>
    <s v="Madison Johnson"/>
    <n v="1"/>
    <x v="116"/>
    <x v="209"/>
    <n v="20.75"/>
    <n v="20.75"/>
    <x v="1"/>
    <x v="3"/>
    <s v="Capocollo, Tomatoes, Goat Cheese, Artichokes, Peperoncini verdi, Garlic"/>
    <x v="10"/>
  </r>
  <r>
    <x v="215"/>
    <s v="prsc_argla_m"/>
    <s v="Alexander Torres"/>
    <n v="1"/>
    <x v="117"/>
    <x v="210"/>
    <n v="16.5"/>
    <n v="16.5"/>
    <x v="0"/>
    <x v="3"/>
    <s v="Prosciutto di San Daniele, Arugula, Mozzarella Cheese"/>
    <x v="6"/>
  </r>
  <r>
    <x v="216"/>
    <s v="sicilian_l"/>
    <s v="Megan Carter"/>
    <n v="1"/>
    <x v="117"/>
    <x v="211"/>
    <n v="20.25"/>
    <n v="20.25"/>
    <x v="1"/>
    <x v="3"/>
    <s v="Coarse Sicilian Salami, Tomatoes, Green Olives, Luganega Sausage, Onions, Garlic"/>
    <x v="12"/>
  </r>
  <r>
    <x v="217"/>
    <s v="ital_cpcllo_m"/>
    <s v="Justin Jones"/>
    <n v="1"/>
    <x v="117"/>
    <x v="212"/>
    <n v="16"/>
    <n v="16"/>
    <x v="0"/>
    <x v="0"/>
    <s v="Capocollo, Red Peppers, Tomatoes, Goat Cheese, Garlic, Oregano"/>
    <x v="25"/>
  </r>
  <r>
    <x v="218"/>
    <s v="big_meat_s"/>
    <s v="Brittany Walker"/>
    <n v="1"/>
    <x v="117"/>
    <x v="213"/>
    <n v="12"/>
    <n v="12"/>
    <x v="3"/>
    <x v="0"/>
    <s v="Bacon, Pepperoni, Italian Sausage, Chorizo Sausage"/>
    <x v="24"/>
  </r>
  <r>
    <x v="219"/>
    <s v="pepperoni_m"/>
    <s v="Ethan Campbell"/>
    <n v="1"/>
    <x v="118"/>
    <x v="214"/>
    <n v="12.5"/>
    <n v="12.5"/>
    <x v="0"/>
    <x v="0"/>
    <s v="Mozzarella Cheese, Pepperoni"/>
    <x v="5"/>
  </r>
  <r>
    <x v="220"/>
    <s v="veggie_veg_m"/>
    <s v="Jennifer White"/>
    <n v="1"/>
    <x v="118"/>
    <x v="215"/>
    <n v="16"/>
    <n v="16"/>
    <x v="0"/>
    <x v="2"/>
    <s v="Mushrooms, Tomatoes, Red Peppers, Green Peppers, Red Onions, Zucchini, Spinach, Garlic"/>
    <x v="19"/>
  </r>
  <r>
    <x v="221"/>
    <s v="classic_dlx_m"/>
    <s v="Samantha Allen"/>
    <n v="1"/>
    <x v="118"/>
    <x v="216"/>
    <n v="16"/>
    <n v="16"/>
    <x v="0"/>
    <x v="0"/>
    <s v="Pepperoni, Mushrooms, Red Onions, Red Peppers, Bacon"/>
    <x v="0"/>
  </r>
  <r>
    <x v="222"/>
    <s v="pep_msh_pep_m"/>
    <s v="Olivia Ramirez"/>
    <n v="1"/>
    <x v="119"/>
    <x v="217"/>
    <n v="14.5"/>
    <n v="14.5"/>
    <x v="0"/>
    <x v="0"/>
    <s v="Pepperoni, Mushrooms, Green Peppers"/>
    <x v="30"/>
  </r>
  <r>
    <x v="223"/>
    <s v="ital_supr_m"/>
    <s v="Jacob Hernandez"/>
    <n v="1"/>
    <x v="119"/>
    <x v="218"/>
    <n v="16.5"/>
    <n v="16.5"/>
    <x v="0"/>
    <x v="3"/>
    <s v="Calabrese Salami, Capocollo, Tomatoes, Red Onions, Green Olives, Garlic"/>
    <x v="7"/>
  </r>
  <r>
    <x v="224"/>
    <s v="sicilian_s"/>
    <s v="Hannah Gonzalez"/>
    <n v="1"/>
    <x v="119"/>
    <x v="219"/>
    <n v="12.25"/>
    <n v="12.25"/>
    <x v="3"/>
    <x v="3"/>
    <s v="Coarse Sicilian Salami, Tomatoes, Green Olives, Luganega Sausage, Onions, Garlic"/>
    <x v="12"/>
  </r>
  <r>
    <x v="225"/>
    <s v="bbq_ckn_s"/>
    <s v="Rachel Perez"/>
    <n v="1"/>
    <x v="120"/>
    <x v="220"/>
    <n v="12.75"/>
    <n v="12.75"/>
    <x v="3"/>
    <x v="1"/>
    <s v="Barbecued Chicken, Red Peppers, Green Peppers, Tomatoes, Red Onions, Barbecue Sauce"/>
    <x v="13"/>
  </r>
  <r>
    <x v="226"/>
    <s v="mexicana_l"/>
    <s v="Brandon Parker"/>
    <n v="1"/>
    <x v="121"/>
    <x v="221"/>
    <n v="20.25"/>
    <n v="20.25"/>
    <x v="1"/>
    <x v="2"/>
    <s v="Tomatoes, Red Peppers, Jalapeno Peppers, Red Onions, Cilantro, Corn, Chipotle Sauce, Garlic"/>
    <x v="8"/>
  </r>
  <r>
    <x v="227"/>
    <s v="green_garden_s"/>
    <s v="Michael Baker"/>
    <n v="1"/>
    <x v="121"/>
    <x v="222"/>
    <n v="12"/>
    <n v="12"/>
    <x v="3"/>
    <x v="2"/>
    <s v="Spinach, Mushrooms, Tomatoes, Green Olives, Feta Cheese"/>
    <x v="27"/>
  </r>
  <r>
    <x v="228"/>
    <s v="bbq_ckn_m"/>
    <s v="Ethan Baker"/>
    <n v="1"/>
    <x v="121"/>
    <x v="223"/>
    <n v="16.75"/>
    <n v="16.75"/>
    <x v="0"/>
    <x v="1"/>
    <s v="Barbecued Chicken, Red Peppers, Green Peppers, Tomatoes, Red Onions, Barbecue Sauce"/>
    <x v="13"/>
  </r>
  <r>
    <x v="229"/>
    <s v="sicilian_s"/>
    <s v="Courtney Johnson"/>
    <n v="1"/>
    <x v="122"/>
    <x v="224"/>
    <n v="12.25"/>
    <n v="12.25"/>
    <x v="3"/>
    <x v="3"/>
    <s v="Coarse Sicilian Salami, Tomatoes, Green Olives, Luganega Sausage, Onions, Garlic"/>
    <x v="12"/>
  </r>
  <r>
    <x v="230"/>
    <s v="spin_pesto_l"/>
    <s v="Jacob Garcia"/>
    <n v="1"/>
    <x v="123"/>
    <x v="225"/>
    <n v="20.75"/>
    <n v="20.75"/>
    <x v="1"/>
    <x v="2"/>
    <s v="Spinach, Artichokes, Tomatoes, Sun-dried Tomatoes, Garlic, Pesto Sauce"/>
    <x v="23"/>
  </r>
  <r>
    <x v="231"/>
    <s v="big_meat_s"/>
    <s v="Megan Williams"/>
    <n v="1"/>
    <x v="123"/>
    <x v="226"/>
    <n v="12"/>
    <n v="12"/>
    <x v="3"/>
    <x v="0"/>
    <s v="Bacon, Pepperoni, Italian Sausage, Chorizo Sausage"/>
    <x v="24"/>
  </r>
  <r>
    <x v="232"/>
    <s v="bbq_ckn_l"/>
    <s v="Daniel Parker"/>
    <n v="1"/>
    <x v="124"/>
    <x v="227"/>
    <n v="20.75"/>
    <n v="20.75"/>
    <x v="1"/>
    <x v="1"/>
    <s v="Barbecued Chicken, Red Peppers, Green Peppers, Tomatoes, Red Onions, Barbecue Sauce"/>
    <x v="13"/>
  </r>
  <r>
    <x v="233"/>
    <s v="bbq_ckn_l"/>
    <s v="Andrew Mitchell"/>
    <n v="1"/>
    <x v="124"/>
    <x v="228"/>
    <n v="20.75"/>
    <n v="20.75"/>
    <x v="1"/>
    <x v="1"/>
    <s v="Barbecued Chicken, Red Peppers, Green Peppers, Tomatoes, Red Onions, Barbecue Sauce"/>
    <x v="13"/>
  </r>
  <r>
    <x v="234"/>
    <s v="calabrese_s"/>
    <s v="Tyler Scott"/>
    <n v="1"/>
    <x v="125"/>
    <x v="229"/>
    <n v="12.25"/>
    <n v="12.25"/>
    <x v="3"/>
    <x v="3"/>
    <s v="慛duja Salami, Pancetta, Tomatoes, Red Onions, Friggitello Peppers, Garlic"/>
    <x v="22"/>
  </r>
  <r>
    <x v="235"/>
    <s v="veggie_veg_m"/>
    <s v="Lauren Torres"/>
    <n v="1"/>
    <x v="125"/>
    <x v="230"/>
    <n v="16"/>
    <n v="16"/>
    <x v="0"/>
    <x v="2"/>
    <s v="Mushrooms, Tomatoes, Red Peppers, Green Peppers, Red Onions, Zucchini, Spinach, Garlic"/>
    <x v="19"/>
  </r>
  <r>
    <x v="236"/>
    <s v="calabrese_m"/>
    <s v="Alexis Nelson"/>
    <n v="1"/>
    <x v="125"/>
    <x v="231"/>
    <n v="16.25"/>
    <n v="16.25"/>
    <x v="0"/>
    <x v="3"/>
    <s v="慛duja Salami, Pancetta, Tomatoes, Red Onions, Friggitello Peppers, Garlic"/>
    <x v="22"/>
  </r>
  <r>
    <x v="237"/>
    <s v="pepperoni_s"/>
    <s v="William Nelson"/>
    <n v="1"/>
    <x v="125"/>
    <x v="232"/>
    <n v="9.75"/>
    <n v="9.75"/>
    <x v="3"/>
    <x v="0"/>
    <s v="Mozzarella Cheese, Pepperoni"/>
    <x v="5"/>
  </r>
  <r>
    <x v="238"/>
    <s v="green_garden_s"/>
    <s v="Linda White"/>
    <n v="1"/>
    <x v="126"/>
    <x v="233"/>
    <n v="12"/>
    <n v="12"/>
    <x v="3"/>
    <x v="2"/>
    <s v="Spinach, Mushrooms, Tomatoes, Green Olives, Feta Cheese"/>
    <x v="27"/>
  </r>
  <r>
    <x v="239"/>
    <s v="the_greek_xl"/>
    <s v="Sophia Taylor"/>
    <n v="1"/>
    <x v="127"/>
    <x v="234"/>
    <n v="25.5"/>
    <n v="25.5"/>
    <x v="2"/>
    <x v="0"/>
    <s v="Kalamata Olives, Feta Cheese, Tomatoes, Garlic, Beef Chuck Roast, Red Onions"/>
    <x v="4"/>
  </r>
  <r>
    <x v="240"/>
    <s v="veggie_veg_l"/>
    <s v="Emily Green"/>
    <n v="1"/>
    <x v="127"/>
    <x v="235"/>
    <n v="20.25"/>
    <n v="20.25"/>
    <x v="1"/>
    <x v="2"/>
    <s v="Mushrooms, Tomatoes, Red Peppers, Green Peppers, Red Onions, Zucchini, Spinach, Garlic"/>
    <x v="19"/>
  </r>
  <r>
    <x v="241"/>
    <s v="big_meat_s"/>
    <s v="David Miller"/>
    <n v="1"/>
    <x v="127"/>
    <x v="236"/>
    <n v="12"/>
    <n v="12"/>
    <x v="3"/>
    <x v="0"/>
    <s v="Bacon, Pepperoni, Italian Sausage, Chorizo Sausage"/>
    <x v="24"/>
  </r>
  <r>
    <x v="242"/>
    <s v="southw_ckn_l"/>
    <s v="Taylor Thomas"/>
    <n v="1"/>
    <x v="127"/>
    <x v="237"/>
    <n v="20.75"/>
    <n v="20.75"/>
    <x v="1"/>
    <x v="1"/>
    <s v="Chicken, Tomatoes, Red Peppers, Red Onions, Jalapeno Peppers, Corn, Cilantro, Chipotle Sauce"/>
    <x v="15"/>
  </r>
  <r>
    <x v="243"/>
    <s v="hawaiian_m"/>
    <s v="Ethan Parker"/>
    <n v="1"/>
    <x v="128"/>
    <x v="238"/>
    <n v="13.25"/>
    <n v="13.25"/>
    <x v="0"/>
    <x v="0"/>
    <s v="Sliced Ham, Pineapple, Mozzarella Cheese"/>
    <x v="18"/>
  </r>
  <r>
    <x v="244"/>
    <s v="green_garden_s"/>
    <s v="Daniel Thomas"/>
    <n v="1"/>
    <x v="129"/>
    <x v="239"/>
    <n v="12"/>
    <n v="12"/>
    <x v="3"/>
    <x v="2"/>
    <s v="Spinach, Mushrooms, Tomatoes, Green Olives, Feta Cheese"/>
    <x v="27"/>
  </r>
  <r>
    <x v="245"/>
    <s v="prsc_argla_l"/>
    <s v="Brianna Adams"/>
    <n v="1"/>
    <x v="129"/>
    <x v="240"/>
    <n v="20.75"/>
    <n v="20.75"/>
    <x v="1"/>
    <x v="3"/>
    <s v="Prosciutto di San Daniele, Arugula, Mozzarella Cheese"/>
    <x v="6"/>
  </r>
  <r>
    <x v="246"/>
    <s v="peppr_salami_m"/>
    <s v="Stephanie Nelson"/>
    <n v="1"/>
    <x v="130"/>
    <x v="241"/>
    <n v="16.5"/>
    <n v="16.5"/>
    <x v="0"/>
    <x v="3"/>
    <s v="Genoa Salami, Capocollo, Pepperoni, Tomatoes, Asiago Cheese, Garlic"/>
    <x v="14"/>
  </r>
  <r>
    <x v="247"/>
    <s v="spicy_ital_m"/>
    <s v="Samantha Ramirez"/>
    <n v="1"/>
    <x v="131"/>
    <x v="242"/>
    <n v="16.5"/>
    <n v="16.5"/>
    <x v="0"/>
    <x v="3"/>
    <s v="Capocollo, Tomatoes, Goat Cheese, Artichokes, Peperoncini verdi, Garlic"/>
    <x v="10"/>
  </r>
  <r>
    <x v="248"/>
    <s v="peppr_salami_s"/>
    <s v="Tyler Mitchell"/>
    <n v="1"/>
    <x v="132"/>
    <x v="243"/>
    <n v="12.5"/>
    <n v="12.5"/>
    <x v="3"/>
    <x v="3"/>
    <s v="Genoa Salami, Capocollo, Pepperoni, Tomatoes, Asiago Cheese, Garlic"/>
    <x v="14"/>
  </r>
  <r>
    <x v="249"/>
    <s v="spicy_ital_l"/>
    <s v="Daniel Hill"/>
    <n v="1"/>
    <x v="132"/>
    <x v="244"/>
    <n v="20.75"/>
    <n v="20.75"/>
    <x v="1"/>
    <x v="3"/>
    <s v="Capocollo, Tomatoes, Goat Cheese, Artichokes, Peperoncini verdi, Garlic"/>
    <x v="10"/>
  </r>
  <r>
    <x v="250"/>
    <s v="ckn_pesto_m"/>
    <s v="Hannah Roberts"/>
    <n v="1"/>
    <x v="133"/>
    <x v="245"/>
    <n v="16.75"/>
    <n v="16.75"/>
    <x v="0"/>
    <x v="1"/>
    <s v="Chicken, Tomatoes, Red Peppers, Spinach, Garlic, Pesto Sauce"/>
    <x v="21"/>
  </r>
  <r>
    <x v="251"/>
    <s v="big_meat_s"/>
    <s v="Joshua Evans"/>
    <n v="1"/>
    <x v="133"/>
    <x v="246"/>
    <n v="12"/>
    <n v="12"/>
    <x v="3"/>
    <x v="0"/>
    <s v="Bacon, Pepperoni, Italian Sausage, Chorizo Sausage"/>
    <x v="24"/>
  </r>
  <r>
    <x v="252"/>
    <s v="peppr_salami_m"/>
    <s v="Taylor Allen"/>
    <n v="1"/>
    <x v="134"/>
    <x v="247"/>
    <n v="16.5"/>
    <n v="16.5"/>
    <x v="0"/>
    <x v="3"/>
    <s v="Genoa Salami, Capocollo, Pepperoni, Tomatoes, Asiago Cheese, Garlic"/>
    <x v="14"/>
  </r>
  <r>
    <x v="253"/>
    <s v="ckn_pesto_m"/>
    <s v="Matthew Garcia"/>
    <n v="1"/>
    <x v="134"/>
    <x v="248"/>
    <n v="16.75"/>
    <n v="16.75"/>
    <x v="0"/>
    <x v="1"/>
    <s v="Chicken, Tomatoes, Red Peppers, Spinach, Garlic, Pesto Sauce"/>
    <x v="21"/>
  </r>
  <r>
    <x v="254"/>
    <s v="ital_veggie_m"/>
    <s v="Ashley Parker"/>
    <n v="2"/>
    <x v="135"/>
    <x v="249"/>
    <n v="16.75"/>
    <n v="33.5"/>
    <x v="0"/>
    <x v="2"/>
    <s v="Eggplant, Artichokes, Tomatoes, Zucchini, Red Peppers, Garlic, Pesto Sauce"/>
    <x v="11"/>
  </r>
  <r>
    <x v="255"/>
    <s v="green_garden_s"/>
    <s v="Matthew Phillips"/>
    <n v="1"/>
    <x v="135"/>
    <x v="250"/>
    <n v="12"/>
    <n v="12"/>
    <x v="3"/>
    <x v="2"/>
    <s v="Spinach, Mushrooms, Tomatoes, Green Olives, Feta Cheese"/>
    <x v="27"/>
  </r>
  <r>
    <x v="256"/>
    <s v="the_greek_xl"/>
    <s v="Jacob Adams"/>
    <n v="1"/>
    <x v="135"/>
    <x v="251"/>
    <n v="25.5"/>
    <n v="25.5"/>
    <x v="2"/>
    <x v="0"/>
    <s v="Kalamata Olives, Feta Cheese, Tomatoes, Garlic, Beef Chuck Roast, Red Onions"/>
    <x v="4"/>
  </r>
  <r>
    <x v="257"/>
    <s v="peppr_salami_s"/>
    <s v="Amber Carter"/>
    <n v="1"/>
    <x v="136"/>
    <x v="252"/>
    <n v="12.5"/>
    <n v="12.5"/>
    <x v="3"/>
    <x v="3"/>
    <s v="Genoa Salami, Capocollo, Pepperoni, Tomatoes, Asiago Cheese, Garlic"/>
    <x v="14"/>
  </r>
  <r>
    <x v="258"/>
    <s v="classic_dlx_l"/>
    <s v="Courtney Walker"/>
    <n v="1"/>
    <x v="136"/>
    <x v="253"/>
    <n v="20.5"/>
    <n v="20.5"/>
    <x v="1"/>
    <x v="0"/>
    <s v="Pepperoni, Mushrooms, Red Onions, Red Peppers, Bacon"/>
    <x v="0"/>
  </r>
  <r>
    <x v="259"/>
    <s v="four_cheese_m"/>
    <s v="Madison Carter"/>
    <n v="1"/>
    <x v="136"/>
    <x v="254"/>
    <n v="14.75"/>
    <n v="14.75"/>
    <x v="0"/>
    <x v="2"/>
    <s v="Ricotta Cheese, Gorgonzola Piccante Cheese, Mozzarella Cheese, Parmigiano Reggiano Cheese, Garlic"/>
    <x v="9"/>
  </r>
  <r>
    <x v="260"/>
    <s v="spin_pesto_s"/>
    <s v="Zachary Moore"/>
    <n v="1"/>
    <x v="136"/>
    <x v="255"/>
    <n v="12.5"/>
    <n v="12.5"/>
    <x v="3"/>
    <x v="2"/>
    <s v="Spinach, Artichokes, Tomatoes, Sun-dried Tomatoes, Garlic, Pesto Sauce"/>
    <x v="23"/>
  </r>
  <r>
    <x v="261"/>
    <s v="ital_cpcllo_l"/>
    <s v="Logan Green"/>
    <n v="1"/>
    <x v="136"/>
    <x v="256"/>
    <n v="20.5"/>
    <n v="20.5"/>
    <x v="1"/>
    <x v="0"/>
    <s v="Capocollo, Red Peppers, Tomatoes, Goat Cheese, Garlic, Oregano"/>
    <x v="25"/>
  </r>
  <r>
    <x v="262"/>
    <s v="pep_msh_pep_s"/>
    <s v="John Johnson"/>
    <n v="1"/>
    <x v="137"/>
    <x v="257"/>
    <n v="11"/>
    <n v="11"/>
    <x v="3"/>
    <x v="0"/>
    <s v="Pepperoni, Mushrooms, Green Peppers"/>
    <x v="30"/>
  </r>
  <r>
    <x v="263"/>
    <s v="spicy_ital_l"/>
    <s v="Samantha Davis"/>
    <n v="1"/>
    <x v="138"/>
    <x v="258"/>
    <n v="20.75"/>
    <n v="20.75"/>
    <x v="1"/>
    <x v="3"/>
    <s v="Capocollo, Tomatoes, Goat Cheese, Artichokes, Peperoncini verdi, Garlic"/>
    <x v="10"/>
  </r>
  <r>
    <x v="264"/>
    <s v="four_cheese_l"/>
    <s v="Brittany Thomas"/>
    <n v="1"/>
    <x v="138"/>
    <x v="259"/>
    <n v="17.95"/>
    <n v="17.95"/>
    <x v="1"/>
    <x v="2"/>
    <s v="Ricotta Cheese, Gorgonzola Piccante Cheese, Mozzarella Cheese, Parmigiano Reggiano Cheese, Garlic"/>
    <x v="9"/>
  </r>
  <r>
    <x v="265"/>
    <s v="ital_supr_m"/>
    <s v="Amanda Lewis"/>
    <n v="1"/>
    <x v="138"/>
    <x v="260"/>
    <n v="16.5"/>
    <n v="16.5"/>
    <x v="0"/>
    <x v="3"/>
    <s v="Calabrese Salami, Capocollo, Tomatoes, Red Onions, Green Olives, Garlic"/>
    <x v="7"/>
  </r>
  <r>
    <x v="266"/>
    <s v="hawaiian_s"/>
    <s v="David Adams"/>
    <n v="1"/>
    <x v="139"/>
    <x v="261"/>
    <n v="10.5"/>
    <n v="10.5"/>
    <x v="3"/>
    <x v="0"/>
    <s v="Sliced Ham, Pineapple, Mozzarella Cheese"/>
    <x v="18"/>
  </r>
  <r>
    <x v="267"/>
    <s v="sicilian_m"/>
    <s v="Dylan Miller"/>
    <n v="1"/>
    <x v="139"/>
    <x v="262"/>
    <n v="16.25"/>
    <n v="16.25"/>
    <x v="0"/>
    <x v="3"/>
    <s v="Coarse Sicilian Salami, Tomatoes, Green Olives, Luganega Sausage, Onions, Garlic"/>
    <x v="12"/>
  </r>
  <r>
    <x v="268"/>
    <s v="spicy_ital_s"/>
    <s v="Brandon Young"/>
    <n v="1"/>
    <x v="140"/>
    <x v="263"/>
    <n v="12.5"/>
    <n v="12.5"/>
    <x v="3"/>
    <x v="3"/>
    <s v="Capocollo, Tomatoes, Goat Cheese, Artichokes, Peperoncini verdi, Garlic"/>
    <x v="10"/>
  </r>
  <r>
    <x v="269"/>
    <s v="green_garden_s"/>
    <s v="Elizabeth Wright"/>
    <n v="1"/>
    <x v="141"/>
    <x v="264"/>
    <n v="12"/>
    <n v="12"/>
    <x v="3"/>
    <x v="2"/>
    <s v="Spinach, Mushrooms, Tomatoes, Green Olives, Feta Cheese"/>
    <x v="27"/>
  </r>
  <r>
    <x v="270"/>
    <s v="hawaiian_s"/>
    <s v="Sarah King"/>
    <n v="1"/>
    <x v="141"/>
    <x v="265"/>
    <n v="10.5"/>
    <n v="10.5"/>
    <x v="3"/>
    <x v="0"/>
    <s v="Sliced Ham, Pineapple, Mozzarella Cheese"/>
    <x v="18"/>
  </r>
  <r>
    <x v="271"/>
    <s v="prsc_argla_l"/>
    <s v="Olivia Hill"/>
    <n v="1"/>
    <x v="142"/>
    <x v="266"/>
    <n v="20.75"/>
    <n v="20.75"/>
    <x v="1"/>
    <x v="3"/>
    <s v="Prosciutto di San Daniele, Arugula, Mozzarella Cheese"/>
    <x v="6"/>
  </r>
  <r>
    <x v="272"/>
    <s v="thai_ckn_l"/>
    <s v="Brandon Hernandez"/>
    <n v="1"/>
    <x v="143"/>
    <x v="267"/>
    <n v="20.75"/>
    <n v="20.75"/>
    <x v="1"/>
    <x v="1"/>
    <s v="Chicken, Pineapple, Tomatoes, Red Peppers, Thai Sweet Chilli Sauce"/>
    <x v="17"/>
  </r>
  <r>
    <x v="273"/>
    <s v="bbq_ckn_l"/>
    <s v="Brianna Nelson"/>
    <n v="1"/>
    <x v="144"/>
    <x v="268"/>
    <n v="20.75"/>
    <n v="20.75"/>
    <x v="1"/>
    <x v="1"/>
    <s v="Barbecued Chicken, Red Peppers, Green Peppers, Tomatoes, Red Onions, Barbecue Sauce"/>
    <x v="13"/>
  </r>
  <r>
    <x v="274"/>
    <s v="big_meat_s"/>
    <s v="Lauren Roberts"/>
    <n v="1"/>
    <x v="145"/>
    <x v="269"/>
    <n v="12"/>
    <n v="12"/>
    <x v="3"/>
    <x v="0"/>
    <s v="Bacon, Pepperoni, Italian Sausage, Chorizo Sausage"/>
    <x v="24"/>
  </r>
  <r>
    <x v="275"/>
    <s v="ital_supr_l"/>
    <s v="Anthony Robinson"/>
    <n v="1"/>
    <x v="146"/>
    <x v="270"/>
    <n v="20.75"/>
    <n v="20.75"/>
    <x v="1"/>
    <x v="3"/>
    <s v="Calabrese Salami, Capocollo, Tomatoes, Red Onions, Green Olives, Garlic"/>
    <x v="7"/>
  </r>
  <r>
    <x v="276"/>
    <s v="green_garden_s"/>
    <s v="Elizabeth Roberts"/>
    <n v="1"/>
    <x v="146"/>
    <x v="271"/>
    <n v="12"/>
    <n v="12"/>
    <x v="3"/>
    <x v="2"/>
    <s v="Spinach, Mushrooms, Tomatoes, Green Olives, Feta Cheese"/>
    <x v="27"/>
  </r>
  <r>
    <x v="277"/>
    <s v="cali_ckn_l"/>
    <s v="Justin King"/>
    <n v="1"/>
    <x v="147"/>
    <x v="272"/>
    <n v="20.75"/>
    <n v="20.75"/>
    <x v="1"/>
    <x v="1"/>
    <s v="Chicken, Artichoke, Spinach, Garlic, Jalapeno Peppers, Fontina Cheese, Gouda Cheese"/>
    <x v="1"/>
  </r>
  <r>
    <x v="278"/>
    <s v="napolitana_l"/>
    <s v="William Gonzalez"/>
    <n v="1"/>
    <x v="147"/>
    <x v="273"/>
    <n v="20.5"/>
    <n v="20.5"/>
    <x v="1"/>
    <x v="0"/>
    <s v="Tomatoes, Anchovies, Green Olives, Red Onions, Garlic"/>
    <x v="26"/>
  </r>
  <r>
    <x v="279"/>
    <s v="big_meat_s"/>
    <s v="Christopher Phillips"/>
    <n v="1"/>
    <x v="148"/>
    <x v="274"/>
    <n v="12"/>
    <n v="12"/>
    <x v="3"/>
    <x v="0"/>
    <s v="Bacon, Pepperoni, Italian Sausage, Chorizo Sausage"/>
    <x v="24"/>
  </r>
  <r>
    <x v="280"/>
    <s v="bbq_ckn_m"/>
    <s v="Logan Phillips"/>
    <n v="1"/>
    <x v="149"/>
    <x v="275"/>
    <n v="16.75"/>
    <n v="16.75"/>
    <x v="0"/>
    <x v="1"/>
    <s v="Barbecued Chicken, Red Peppers, Green Peppers, Tomatoes, Red Onions, Barbecue Sauce"/>
    <x v="13"/>
  </r>
  <r>
    <x v="281"/>
    <s v="the_greek_l"/>
    <s v="Robert Miller"/>
    <n v="1"/>
    <x v="149"/>
    <x v="276"/>
    <n v="20.5"/>
    <n v="20.5"/>
    <x v="1"/>
    <x v="0"/>
    <s v="Kalamata Olives, Feta Cheese, Tomatoes, Garlic, Beef Chuck Roast, Red Onions"/>
    <x v="4"/>
  </r>
  <r>
    <x v="282"/>
    <s v="sicilian_s"/>
    <s v="Emily Thompson"/>
    <n v="1"/>
    <x v="150"/>
    <x v="277"/>
    <n v="12.25"/>
    <n v="12.25"/>
    <x v="3"/>
    <x v="3"/>
    <s v="Coarse Sicilian Salami, Tomatoes, Green Olives, Luganega Sausage, Onions, Garlic"/>
    <x v="12"/>
  </r>
  <r>
    <x v="283"/>
    <s v="veggie_veg_s"/>
    <s v="Brandon Brown"/>
    <n v="1"/>
    <x v="150"/>
    <x v="278"/>
    <n v="12"/>
    <n v="12"/>
    <x v="3"/>
    <x v="2"/>
    <s v="Mushrooms, Tomatoes, Red Peppers, Green Peppers, Red Onions, Zucchini, Spinach, Garlic"/>
    <x v="19"/>
  </r>
  <r>
    <x v="284"/>
    <s v="mediterraneo_m"/>
    <s v="Jacob Brown"/>
    <n v="1"/>
    <x v="150"/>
    <x v="279"/>
    <n v="16"/>
    <n v="16"/>
    <x v="0"/>
    <x v="2"/>
    <s v="Spinach, Artichokes, Kalamata Olives, Sun-dried Tomatoes, Feta Cheese, Plum Tomatoes, Red Onions"/>
    <x v="16"/>
  </r>
  <r>
    <x v="285"/>
    <s v="five_cheese_l"/>
    <s v="William King"/>
    <n v="1"/>
    <x v="151"/>
    <x v="236"/>
    <n v="18.5"/>
    <n v="18.5"/>
    <x v="1"/>
    <x v="2"/>
    <s v="Mozzarella Cheese, Provolone Cheese, Smoked Gouda Cheese, Romano Cheese, Blue Cheese, Garlic"/>
    <x v="2"/>
  </r>
  <r>
    <x v="286"/>
    <s v="mexicana_m"/>
    <s v="Amber Williams"/>
    <n v="1"/>
    <x v="151"/>
    <x v="280"/>
    <n v="16"/>
    <n v="16"/>
    <x v="0"/>
    <x v="2"/>
    <s v="Tomatoes, Red Peppers, Jalapeno Peppers, Red Onions, Cilantro, Corn, Chipotle Sauce, Garlic"/>
    <x v="8"/>
  </r>
  <r>
    <x v="287"/>
    <s v="mexicana_l"/>
    <s v="Samantha Carter"/>
    <n v="1"/>
    <x v="152"/>
    <x v="281"/>
    <n v="20.25"/>
    <n v="20.25"/>
    <x v="1"/>
    <x v="2"/>
    <s v="Tomatoes, Red Peppers, Jalapeno Peppers, Red Onions, Cilantro, Corn, Chipotle Sauce, Garlic"/>
    <x v="8"/>
  </r>
  <r>
    <x v="288"/>
    <s v="spinach_fet_s"/>
    <s v="Kayla Lopez"/>
    <n v="1"/>
    <x v="152"/>
    <x v="282"/>
    <n v="12"/>
    <n v="12"/>
    <x v="3"/>
    <x v="2"/>
    <s v="Spinach, Mushrooms, Red Onions, Feta Cheese, Garlic"/>
    <x v="28"/>
  </r>
  <r>
    <x v="289"/>
    <s v="ital_supr_m"/>
    <s v="Rachel Harris"/>
    <n v="1"/>
    <x v="152"/>
    <x v="283"/>
    <n v="16.5"/>
    <n v="16.5"/>
    <x v="0"/>
    <x v="3"/>
    <s v="Calabrese Salami, Capocollo, Tomatoes, Red Onions, Green Olives, Garlic"/>
    <x v="7"/>
  </r>
  <r>
    <x v="290"/>
    <s v="ital_cpcllo_s"/>
    <s v="Emily Adams"/>
    <n v="1"/>
    <x v="153"/>
    <x v="79"/>
    <n v="12"/>
    <n v="12"/>
    <x v="3"/>
    <x v="0"/>
    <s v="Capocollo, Red Peppers, Tomatoes, Goat Cheese, Garlic, Oregano"/>
    <x v="25"/>
  </r>
  <r>
    <x v="291"/>
    <s v="green_garden_m"/>
    <s v="Michael Young"/>
    <n v="1"/>
    <x v="153"/>
    <x v="284"/>
    <n v="16"/>
    <n v="16"/>
    <x v="0"/>
    <x v="2"/>
    <s v="Spinach, Mushrooms, Tomatoes, Green Olives, Feta Cheese"/>
    <x v="27"/>
  </r>
  <r>
    <x v="292"/>
    <s v="spin_pesto_l"/>
    <s v="Lauren Collins"/>
    <n v="1"/>
    <x v="154"/>
    <x v="285"/>
    <n v="20.75"/>
    <n v="20.75"/>
    <x v="1"/>
    <x v="2"/>
    <s v="Spinach, Artichokes, Tomatoes, Sun-dried Tomatoes, Garlic, Pesto Sauce"/>
    <x v="23"/>
  </r>
  <r>
    <x v="293"/>
    <s v="the_greek_xl"/>
    <s v="Sarah Nelson"/>
    <n v="1"/>
    <x v="154"/>
    <x v="286"/>
    <n v="25.5"/>
    <n v="25.5"/>
    <x v="2"/>
    <x v="0"/>
    <s v="Kalamata Olives, Feta Cheese, Tomatoes, Garlic, Beef Chuck Roast, Red Onions"/>
    <x v="4"/>
  </r>
  <r>
    <x v="294"/>
    <s v="hawaiian_m"/>
    <s v="Megan Allen"/>
    <n v="1"/>
    <x v="155"/>
    <x v="287"/>
    <n v="13.25"/>
    <n v="13.25"/>
    <x v="0"/>
    <x v="0"/>
    <s v="Sliced Ham, Pineapple, Mozzarella Cheese"/>
    <x v="18"/>
  </r>
  <r>
    <x v="295"/>
    <s v="cali_ckn_l"/>
    <s v="Samantha King"/>
    <n v="1"/>
    <x v="156"/>
    <x v="288"/>
    <n v="20.75"/>
    <n v="20.75"/>
    <x v="1"/>
    <x v="1"/>
    <s v="Chicken, Artichoke, Spinach, Garlic, Jalapeno Peppers, Fontina Cheese, Gouda Cheese"/>
    <x v="1"/>
  </r>
  <r>
    <x v="296"/>
    <s v="pepperoni_l"/>
    <s v="Noah Hill"/>
    <n v="1"/>
    <x v="157"/>
    <x v="289"/>
    <n v="15.25"/>
    <n v="15.25"/>
    <x v="1"/>
    <x v="0"/>
    <s v="Mozzarella Cheese, Pepperoni"/>
    <x v="5"/>
  </r>
  <r>
    <x v="297"/>
    <s v="classic_dlx_m"/>
    <s v="Sophia Baker"/>
    <n v="1"/>
    <x v="158"/>
    <x v="290"/>
    <n v="16"/>
    <n v="16"/>
    <x v="0"/>
    <x v="0"/>
    <s v="Pepperoni, Mushrooms, Red Onions, Red Peppers, Bacon"/>
    <x v="0"/>
  </r>
  <r>
    <x v="298"/>
    <s v="southw_ckn_s"/>
    <s v="Elizabeth Walker"/>
    <n v="1"/>
    <x v="158"/>
    <x v="291"/>
    <n v="12.75"/>
    <n v="12.75"/>
    <x v="3"/>
    <x v="1"/>
    <s v="Chicken, Tomatoes, Red Peppers, Red Onions, Jalapeno Peppers, Corn, Cilantro, Chipotle Sauce"/>
    <x v="15"/>
  </r>
  <r>
    <x v="299"/>
    <s v="prsc_argla_s"/>
    <s v="Kayla Perez"/>
    <n v="1"/>
    <x v="159"/>
    <x v="292"/>
    <n v="12.5"/>
    <n v="12.5"/>
    <x v="3"/>
    <x v="3"/>
    <s v="Prosciutto di San Daniele, Arugula, Mozzarella Cheese"/>
    <x v="6"/>
  </r>
  <r>
    <x v="300"/>
    <s v="mediterraneo_m"/>
    <s v="Jennifer Miller"/>
    <n v="1"/>
    <x v="160"/>
    <x v="293"/>
    <n v="16"/>
    <n v="16"/>
    <x v="0"/>
    <x v="2"/>
    <s v="Spinach, Artichokes, Kalamata Olives, Sun-dried Tomatoes, Feta Cheese, Plum Tomatoes, Red Onions"/>
    <x v="16"/>
  </r>
  <r>
    <x v="301"/>
    <s v="cali_ckn_m"/>
    <s v="Jacob Clark"/>
    <n v="1"/>
    <x v="160"/>
    <x v="294"/>
    <n v="16.75"/>
    <n v="16.75"/>
    <x v="0"/>
    <x v="1"/>
    <s v="Chicken, Artichoke, Spinach, Garlic, Jalapeno Peppers, Fontina Cheese, Gouda Cheese"/>
    <x v="1"/>
  </r>
  <r>
    <x v="302"/>
    <s v="sicilian_s"/>
    <s v="Hannah Williams"/>
    <n v="1"/>
    <x v="161"/>
    <x v="295"/>
    <n v="12.25"/>
    <n v="12.25"/>
    <x v="3"/>
    <x v="3"/>
    <s v="Coarse Sicilian Salami, Tomatoes, Green Olives, Luganega Sausage, Onions, Garlic"/>
    <x v="12"/>
  </r>
  <r>
    <x v="303"/>
    <s v="cali_ckn_s"/>
    <s v="Alexander Collins"/>
    <n v="1"/>
    <x v="161"/>
    <x v="296"/>
    <n v="12.75"/>
    <n v="12.75"/>
    <x v="3"/>
    <x v="1"/>
    <s v="Chicken, Artichoke, Spinach, Garlic, Jalapeno Peppers, Fontina Cheese, Gouda Cheese"/>
    <x v="1"/>
  </r>
  <r>
    <x v="304"/>
    <s v="mexicana_m"/>
    <s v="Matthew Robinson"/>
    <n v="1"/>
    <x v="161"/>
    <x v="297"/>
    <n v="16"/>
    <n v="16"/>
    <x v="0"/>
    <x v="2"/>
    <s v="Tomatoes, Red Peppers, Jalapeno Peppers, Red Onions, Cilantro, Corn, Chipotle Sauce, Garlic"/>
    <x v="8"/>
  </r>
  <r>
    <x v="305"/>
    <s v="peppr_salami_s"/>
    <s v="Joshua Young"/>
    <n v="1"/>
    <x v="161"/>
    <x v="298"/>
    <n v="12.5"/>
    <n v="12.5"/>
    <x v="3"/>
    <x v="3"/>
    <s v="Genoa Salami, Capocollo, Pepperoni, Tomatoes, Asiago Cheese, Garlic"/>
    <x v="14"/>
  </r>
  <r>
    <x v="306"/>
    <s v="sicilian_m"/>
    <s v="Brittany Miller"/>
    <n v="1"/>
    <x v="162"/>
    <x v="299"/>
    <n v="16.25"/>
    <n v="16.25"/>
    <x v="0"/>
    <x v="3"/>
    <s v="Coarse Sicilian Salami, Tomatoes, Green Olives, Luganega Sausage, Onions, Garlic"/>
    <x v="12"/>
  </r>
  <r>
    <x v="307"/>
    <s v="classic_dlx_s"/>
    <s v="Zachary Perez"/>
    <n v="1"/>
    <x v="163"/>
    <x v="300"/>
    <n v="12"/>
    <n v="12"/>
    <x v="3"/>
    <x v="0"/>
    <s v="Pepperoni, Mushrooms, Red Onions, Red Peppers, Bacon"/>
    <x v="0"/>
  </r>
  <r>
    <x v="308"/>
    <s v="big_meat_s"/>
    <s v="Ethan Perez"/>
    <n v="1"/>
    <x v="163"/>
    <x v="301"/>
    <n v="12"/>
    <n v="12"/>
    <x v="3"/>
    <x v="0"/>
    <s v="Bacon, Pepperoni, Italian Sausage, Chorizo Sausage"/>
    <x v="24"/>
  </r>
  <r>
    <x v="309"/>
    <s v="ital_cpcllo_l"/>
    <s v="Ashley Martinez"/>
    <n v="1"/>
    <x v="163"/>
    <x v="302"/>
    <n v="20.5"/>
    <n v="20.5"/>
    <x v="1"/>
    <x v="0"/>
    <s v="Capocollo, Red Peppers, Tomatoes, Goat Cheese, Garlic, Oregano"/>
    <x v="25"/>
  </r>
  <r>
    <x v="310"/>
    <s v="soppressata_m"/>
    <s v="Kayla Lee"/>
    <n v="1"/>
    <x v="164"/>
    <x v="303"/>
    <n v="16.5"/>
    <n v="16.5"/>
    <x v="0"/>
    <x v="3"/>
    <s v="Soppressata Salami, Fontina Cheese, Mozzarella Cheese, Mushrooms, Garlic"/>
    <x v="3"/>
  </r>
  <r>
    <x v="311"/>
    <s v="southw_ckn_l"/>
    <s v="Alexander Miller"/>
    <n v="1"/>
    <x v="164"/>
    <x v="304"/>
    <n v="20.75"/>
    <n v="20.75"/>
    <x v="1"/>
    <x v="1"/>
    <s v="Chicken, Tomatoes, Red Peppers, Red Onions, Jalapeno Peppers, Corn, Cilantro, Chipotle Sauce"/>
    <x v="15"/>
  </r>
  <r>
    <x v="312"/>
    <s v="classic_dlx_m"/>
    <s v="Amber Harris"/>
    <n v="1"/>
    <x v="164"/>
    <x v="305"/>
    <n v="16"/>
    <n v="16"/>
    <x v="0"/>
    <x v="0"/>
    <s v="Pepperoni, Mushrooms, Red Onions, Red Peppers, Bacon"/>
    <x v="0"/>
  </r>
  <r>
    <x v="313"/>
    <s v="pepperoni_l"/>
    <s v="Joshua Wright"/>
    <n v="1"/>
    <x v="165"/>
    <x v="306"/>
    <n v="15.25"/>
    <n v="15.25"/>
    <x v="1"/>
    <x v="0"/>
    <s v="Mozzarella Cheese, Pepperoni"/>
    <x v="5"/>
  </r>
  <r>
    <x v="314"/>
    <s v="hawaiian_m"/>
    <s v="Courtney Walker"/>
    <n v="1"/>
    <x v="165"/>
    <x v="307"/>
    <n v="13.25"/>
    <n v="13.25"/>
    <x v="0"/>
    <x v="0"/>
    <s v="Sliced Ham, Pineapple, Mozzarella Cheese"/>
    <x v="18"/>
  </r>
  <r>
    <x v="315"/>
    <s v="ital_supr_l"/>
    <s v="Matthew Moore"/>
    <n v="1"/>
    <x v="165"/>
    <x v="308"/>
    <n v="20.75"/>
    <n v="20.75"/>
    <x v="1"/>
    <x v="3"/>
    <s v="Calabrese Salami, Capocollo, Tomatoes, Red Onions, Green Olives, Garlic"/>
    <x v="7"/>
  </r>
  <r>
    <x v="316"/>
    <s v="spinach_fet_l"/>
    <s v="Samantha Roberts"/>
    <n v="1"/>
    <x v="166"/>
    <x v="309"/>
    <n v="20.25"/>
    <n v="20.25"/>
    <x v="1"/>
    <x v="2"/>
    <s v="Spinach, Mushrooms, Red Onions, Feta Cheese, Garlic"/>
    <x v="28"/>
  </r>
  <r>
    <x v="317"/>
    <s v="pepperoni_m"/>
    <s v="Ethan Martinez"/>
    <n v="1"/>
    <x v="166"/>
    <x v="310"/>
    <n v="12.5"/>
    <n v="12.5"/>
    <x v="0"/>
    <x v="0"/>
    <s v="Mozzarella Cheese, Pepperoni"/>
    <x v="5"/>
  </r>
  <r>
    <x v="318"/>
    <s v="mediterraneo_l"/>
    <s v="Stephanie Allen"/>
    <n v="2"/>
    <x v="167"/>
    <x v="311"/>
    <n v="20.25"/>
    <n v="40.5"/>
    <x v="1"/>
    <x v="2"/>
    <s v="Spinach, Artichokes, Kalamata Olives, Sun-dried Tomatoes, Feta Cheese, Plum Tomatoes, Red Onions"/>
    <x v="16"/>
  </r>
  <r>
    <x v="319"/>
    <s v="peppr_salami_s"/>
    <s v="Ethan Martin"/>
    <n v="1"/>
    <x v="167"/>
    <x v="312"/>
    <n v="12.5"/>
    <n v="12.5"/>
    <x v="3"/>
    <x v="3"/>
    <s v="Genoa Salami, Capocollo, Pepperoni, Tomatoes, Asiago Cheese, Garlic"/>
    <x v="14"/>
  </r>
  <r>
    <x v="320"/>
    <s v="sicilian_l"/>
    <s v="Megan Allen"/>
    <n v="1"/>
    <x v="168"/>
    <x v="313"/>
    <n v="20.25"/>
    <n v="20.25"/>
    <x v="1"/>
    <x v="3"/>
    <s v="Coarse Sicilian Salami, Tomatoes, Green Olives, Luganega Sausage, Onions, Garlic"/>
    <x v="12"/>
  </r>
  <r>
    <x v="321"/>
    <s v="thai_ckn_l"/>
    <s v="Stephanie Thomas"/>
    <n v="1"/>
    <x v="168"/>
    <x v="314"/>
    <n v="20.75"/>
    <n v="20.75"/>
    <x v="1"/>
    <x v="1"/>
    <s v="Chicken, Pineapple, Tomatoes, Red Peppers, Thai Sweet Chilli Sauce"/>
    <x v="17"/>
  </r>
  <r>
    <x v="322"/>
    <s v="the_greek_xl"/>
    <s v="Noah Adams"/>
    <n v="1"/>
    <x v="168"/>
    <x v="315"/>
    <n v="25.5"/>
    <n v="25.5"/>
    <x v="2"/>
    <x v="0"/>
    <s v="Kalamata Olives, Feta Cheese, Tomatoes, Garlic, Beef Chuck Roast, Red Onions"/>
    <x v="4"/>
  </r>
  <r>
    <x v="323"/>
    <s v="southw_ckn_s"/>
    <s v="Zachary Lewis"/>
    <n v="1"/>
    <x v="169"/>
    <x v="103"/>
    <n v="12.75"/>
    <n v="12.75"/>
    <x v="3"/>
    <x v="1"/>
    <s v="Chicken, Tomatoes, Red Peppers, Red Onions, Jalapeno Peppers, Corn, Cilantro, Chipotle Sauce"/>
    <x v="15"/>
  </r>
  <r>
    <x v="324"/>
    <s v="hawaiian_s"/>
    <s v="Madison Gonzalez"/>
    <n v="1"/>
    <x v="169"/>
    <x v="316"/>
    <n v="10.5"/>
    <n v="10.5"/>
    <x v="3"/>
    <x v="0"/>
    <s v="Sliced Ham, Pineapple, Mozzarella Cheese"/>
    <x v="18"/>
  </r>
  <r>
    <x v="325"/>
    <s v="spinach_supr_s"/>
    <s v="Kayla King"/>
    <n v="1"/>
    <x v="169"/>
    <x v="317"/>
    <n v="12.5"/>
    <n v="12.5"/>
    <x v="3"/>
    <x v="3"/>
    <s v="Spinach, Red Onions, Pepperoni, Tomatoes, Artichokes, Kalamata Olives, Garlic, Asiago Cheese"/>
    <x v="29"/>
  </r>
  <r>
    <x v="326"/>
    <s v="soppressata_s"/>
    <s v="Justin Lee"/>
    <n v="1"/>
    <x v="169"/>
    <x v="318"/>
    <n v="12.5"/>
    <n v="12.5"/>
    <x v="3"/>
    <x v="3"/>
    <s v="Soppressata Salami, Fontina Cheese, Mozzarella Cheese, Mushrooms, Garlic"/>
    <x v="3"/>
  </r>
  <r>
    <x v="327"/>
    <s v="four_cheese_m"/>
    <s v="Ethan Jones"/>
    <n v="2"/>
    <x v="170"/>
    <x v="319"/>
    <n v="14.75"/>
    <n v="29.5"/>
    <x v="0"/>
    <x v="2"/>
    <s v="Ricotta Cheese, Gorgonzola Piccante Cheese, Mozzarella Cheese, Parmigiano Reggiano Cheese, Garlic"/>
    <x v="9"/>
  </r>
  <r>
    <x v="328"/>
    <s v="hawaiian_l"/>
    <s v="Brianna Brown"/>
    <n v="1"/>
    <x v="171"/>
    <x v="320"/>
    <n v="16.5"/>
    <n v="16.5"/>
    <x v="1"/>
    <x v="0"/>
    <s v="Sliced Ham, Pineapple, Mozzarella Cheese"/>
    <x v="18"/>
  </r>
  <r>
    <x v="329"/>
    <s v="ital_veggie_s"/>
    <s v="Courtney Perez"/>
    <n v="1"/>
    <x v="171"/>
    <x v="321"/>
    <n v="12.75"/>
    <n v="12.75"/>
    <x v="3"/>
    <x v="2"/>
    <s v="Eggplant, Artichokes, Tomatoes, Zucchini, Red Peppers, Garlic, Pesto Sauce"/>
    <x v="11"/>
  </r>
  <r>
    <x v="330"/>
    <s v="pepperoni_l"/>
    <s v="Zachary Jones"/>
    <n v="1"/>
    <x v="171"/>
    <x v="322"/>
    <n v="15.25"/>
    <n v="15.25"/>
    <x v="1"/>
    <x v="0"/>
    <s v="Mozzarella Cheese, Pepperoni"/>
    <x v="5"/>
  </r>
  <r>
    <x v="331"/>
    <s v="prsc_argla_s"/>
    <s v="Kayla Martinez"/>
    <n v="1"/>
    <x v="172"/>
    <x v="323"/>
    <n v="12.5"/>
    <n v="12.5"/>
    <x v="3"/>
    <x v="3"/>
    <s v="Prosciutto di San Daniele, Arugula, Mozzarella Cheese"/>
    <x v="6"/>
  </r>
  <r>
    <x v="332"/>
    <s v="spinach_fet_m"/>
    <s v="Amber Young"/>
    <n v="1"/>
    <x v="173"/>
    <x v="324"/>
    <n v="16"/>
    <n v="16"/>
    <x v="0"/>
    <x v="2"/>
    <s v="Spinach, Mushrooms, Red Onions, Feta Cheese, Garlic"/>
    <x v="28"/>
  </r>
  <r>
    <x v="333"/>
    <s v="veggie_veg_s"/>
    <s v="Stephanie Martinez"/>
    <n v="1"/>
    <x v="173"/>
    <x v="324"/>
    <n v="12"/>
    <n v="12"/>
    <x v="3"/>
    <x v="2"/>
    <s v="Mushrooms, Tomatoes, Red Peppers, Green Peppers, Red Onions, Zucchini, Spinach, Garlic"/>
    <x v="19"/>
  </r>
  <r>
    <x v="334"/>
    <s v="classic_dlx_m"/>
    <s v="William Lee"/>
    <n v="1"/>
    <x v="174"/>
    <x v="325"/>
    <n v="16"/>
    <n v="16"/>
    <x v="0"/>
    <x v="0"/>
    <s v="Pepperoni, Mushrooms, Red Onions, Red Peppers, Bacon"/>
    <x v="0"/>
  </r>
  <r>
    <x v="335"/>
    <s v="classic_dlx_l"/>
    <s v="Samantha Harris"/>
    <n v="1"/>
    <x v="175"/>
    <x v="326"/>
    <n v="20.5"/>
    <n v="20.5"/>
    <x v="1"/>
    <x v="0"/>
    <s v="Pepperoni, Mushrooms, Red Onions, Red Peppers, Bacon"/>
    <x v="0"/>
  </r>
  <r>
    <x v="336"/>
    <s v="four_cheese_l"/>
    <s v="Taylor Green"/>
    <n v="1"/>
    <x v="175"/>
    <x v="327"/>
    <n v="17.95"/>
    <n v="17.95"/>
    <x v="1"/>
    <x v="2"/>
    <s v="Ricotta Cheese, Gorgonzola Piccante Cheese, Mozzarella Cheese, Parmigiano Reggiano Cheese, Garlic"/>
    <x v="9"/>
  </r>
  <r>
    <x v="337"/>
    <s v="mexicana_l"/>
    <s v="Elizabeth Brown"/>
    <n v="1"/>
    <x v="176"/>
    <x v="328"/>
    <n v="20.25"/>
    <n v="20.25"/>
    <x v="1"/>
    <x v="2"/>
    <s v="Tomatoes, Red Peppers, Jalapeno Peppers, Red Onions, Cilantro, Corn, Chipotle Sauce, Garlic"/>
    <x v="8"/>
  </r>
  <r>
    <x v="338"/>
    <s v="spinach_fet_s"/>
    <s v="Daniel Parker"/>
    <n v="1"/>
    <x v="177"/>
    <x v="329"/>
    <n v="12"/>
    <n v="12"/>
    <x v="3"/>
    <x v="2"/>
    <s v="Spinach, Mushrooms, Red Onions, Feta Cheese, Garlic"/>
    <x v="28"/>
  </r>
  <r>
    <x v="339"/>
    <s v="southw_ckn_l"/>
    <s v="Elizabeth Mitchell"/>
    <n v="1"/>
    <x v="177"/>
    <x v="330"/>
    <n v="20.75"/>
    <n v="20.75"/>
    <x v="1"/>
    <x v="1"/>
    <s v="Chicken, Tomatoes, Red Peppers, Red Onions, Jalapeno Peppers, Corn, Cilantro, Chipotle Sauce"/>
    <x v="15"/>
  </r>
  <r>
    <x v="340"/>
    <s v="four_cheese_l"/>
    <s v="Sophia Smith"/>
    <n v="1"/>
    <x v="177"/>
    <x v="331"/>
    <n v="17.95"/>
    <n v="17.95"/>
    <x v="1"/>
    <x v="2"/>
    <s v="Ricotta Cheese, Gorgonzola Piccante Cheese, Mozzarella Cheese, Parmigiano Reggiano Cheese, Garlic"/>
    <x v="9"/>
  </r>
  <r>
    <x v="341"/>
    <s v="mexicana_l"/>
    <s v="Logan Young"/>
    <n v="1"/>
    <x v="177"/>
    <x v="332"/>
    <n v="20.25"/>
    <n v="20.25"/>
    <x v="1"/>
    <x v="2"/>
    <s v="Tomatoes, Red Peppers, Jalapeno Peppers, Red Onions, Cilantro, Corn, Chipotle Sauce, Garlic"/>
    <x v="8"/>
  </r>
  <r>
    <x v="342"/>
    <s v="classic_dlx_m"/>
    <s v="John Jones"/>
    <n v="1"/>
    <x v="178"/>
    <x v="333"/>
    <n v="16"/>
    <n v="16"/>
    <x v="0"/>
    <x v="0"/>
    <s v="Pepperoni, Mushrooms, Red Onions, Red Peppers, Bacon"/>
    <x v="0"/>
  </r>
  <r>
    <x v="343"/>
    <s v="green_garden_s"/>
    <s v="Anthony Davis"/>
    <n v="1"/>
    <x v="179"/>
    <x v="334"/>
    <n v="12"/>
    <n v="12"/>
    <x v="3"/>
    <x v="2"/>
    <s v="Spinach, Mushrooms, Tomatoes, Green Olives, Feta Cheese"/>
    <x v="27"/>
  </r>
  <r>
    <x v="344"/>
    <s v="napolitana_l"/>
    <s v="Joseph Martinez"/>
    <n v="1"/>
    <x v="179"/>
    <x v="334"/>
    <n v="20.5"/>
    <n v="20.5"/>
    <x v="1"/>
    <x v="0"/>
    <s v="Tomatoes, Anchovies, Green Olives, Red Onions, Garlic"/>
    <x v="26"/>
  </r>
  <r>
    <x v="345"/>
    <s v="thai_ckn_l"/>
    <s v="Matthew Turner"/>
    <n v="1"/>
    <x v="179"/>
    <x v="335"/>
    <n v="20.75"/>
    <n v="20.75"/>
    <x v="1"/>
    <x v="1"/>
    <s v="Chicken, Pineapple, Tomatoes, Red Peppers, Thai Sweet Chilli Sauce"/>
    <x v="17"/>
  </r>
  <r>
    <x v="346"/>
    <s v="spinach_fet_m"/>
    <s v="James Robinson"/>
    <n v="1"/>
    <x v="179"/>
    <x v="336"/>
    <n v="16"/>
    <n v="16"/>
    <x v="0"/>
    <x v="2"/>
    <s v="Spinach, Mushrooms, Red Onions, Feta Cheese, Garlic"/>
    <x v="28"/>
  </r>
  <r>
    <x v="347"/>
    <s v="sicilian_s"/>
    <s v="Brittany Lewis"/>
    <n v="1"/>
    <x v="180"/>
    <x v="337"/>
    <n v="12.25"/>
    <n v="12.25"/>
    <x v="3"/>
    <x v="3"/>
    <s v="Coarse Sicilian Salami, Tomatoes, Green Olives, Luganega Sausage, Onions, Garlic"/>
    <x v="12"/>
  </r>
  <r>
    <x v="348"/>
    <s v="pepperoni_l"/>
    <s v="Ryan Williams"/>
    <n v="1"/>
    <x v="180"/>
    <x v="338"/>
    <n v="15.25"/>
    <n v="15.25"/>
    <x v="1"/>
    <x v="0"/>
    <s v="Mozzarella Cheese, Pepperoni"/>
    <x v="5"/>
  </r>
  <r>
    <x v="349"/>
    <s v="spinach_fet_m"/>
    <s v="Andrew Adams"/>
    <n v="1"/>
    <x v="180"/>
    <x v="339"/>
    <n v="16"/>
    <n v="16"/>
    <x v="0"/>
    <x v="2"/>
    <s v="Spinach, Mushrooms, Red Onions, Feta Cheese, Garlic"/>
    <x v="28"/>
  </r>
  <r>
    <x v="350"/>
    <s v="ckn_pesto_s"/>
    <s v="Tyler Davis"/>
    <n v="1"/>
    <x v="181"/>
    <x v="340"/>
    <n v="12.75"/>
    <n v="12.75"/>
    <x v="3"/>
    <x v="1"/>
    <s v="Chicken, Tomatoes, Red Peppers, Spinach, Garlic, Pesto Sauce"/>
    <x v="21"/>
  </r>
  <r>
    <x v="351"/>
    <s v="southw_ckn_l"/>
    <s v="Anthony Martinez"/>
    <n v="1"/>
    <x v="181"/>
    <x v="341"/>
    <n v="20.75"/>
    <n v="20.75"/>
    <x v="1"/>
    <x v="1"/>
    <s v="Chicken, Tomatoes, Red Peppers, Red Onions, Jalapeno Peppers, Corn, Cilantro, Chipotle Sauce"/>
    <x v="15"/>
  </r>
  <r>
    <x v="352"/>
    <s v="spin_pesto_m"/>
    <s v="Dylan Thomas"/>
    <n v="1"/>
    <x v="182"/>
    <x v="342"/>
    <n v="16.5"/>
    <n v="16.5"/>
    <x v="0"/>
    <x v="2"/>
    <s v="Spinach, Artichokes, Tomatoes, Sun-dried Tomatoes, Garlic, Pesto Sauce"/>
    <x v="23"/>
  </r>
  <r>
    <x v="353"/>
    <s v="spinach_fet_m"/>
    <s v="Lauren White"/>
    <n v="1"/>
    <x v="182"/>
    <x v="343"/>
    <n v="16"/>
    <n v="16"/>
    <x v="0"/>
    <x v="2"/>
    <s v="Spinach, Mushrooms, Red Onions, Feta Cheese, Garlic"/>
    <x v="28"/>
  </r>
  <r>
    <x v="354"/>
    <s v="prsc_argla_m"/>
    <s v="Victoria Smith"/>
    <n v="1"/>
    <x v="183"/>
    <x v="344"/>
    <n v="16.5"/>
    <n v="16.5"/>
    <x v="0"/>
    <x v="3"/>
    <s v="Prosciutto di San Daniele, Arugula, Mozzarella Cheese"/>
    <x v="6"/>
  </r>
  <r>
    <x v="355"/>
    <s v="bbq_ckn_l"/>
    <s v="Elizabeth Evans"/>
    <n v="1"/>
    <x v="183"/>
    <x v="345"/>
    <n v="20.75"/>
    <n v="20.75"/>
    <x v="1"/>
    <x v="1"/>
    <s v="Barbecued Chicken, Red Peppers, Green Peppers, Tomatoes, Red Onions, Barbecue Sauce"/>
    <x v="13"/>
  </r>
  <r>
    <x v="356"/>
    <s v="prsc_argla_l"/>
    <s v="Jennifer Martin"/>
    <n v="1"/>
    <x v="184"/>
    <x v="346"/>
    <n v="20.75"/>
    <n v="20.75"/>
    <x v="1"/>
    <x v="3"/>
    <s v="Prosciutto di San Daniele, Arugula, Mozzarella Cheese"/>
    <x v="6"/>
  </r>
  <r>
    <x v="357"/>
    <s v="thai_ckn_l"/>
    <s v="Elizabeth Scott"/>
    <n v="1"/>
    <x v="185"/>
    <x v="347"/>
    <n v="20.75"/>
    <n v="20.75"/>
    <x v="1"/>
    <x v="1"/>
    <s v="Chicken, Pineapple, Tomatoes, Red Peppers, Thai Sweet Chilli Sauce"/>
    <x v="17"/>
  </r>
  <r>
    <x v="358"/>
    <s v="sicilian_l"/>
    <s v="Jacob Turner"/>
    <n v="1"/>
    <x v="185"/>
    <x v="348"/>
    <n v="20.25"/>
    <n v="20.25"/>
    <x v="1"/>
    <x v="3"/>
    <s v="Coarse Sicilian Salami, Tomatoes, Green Olives, Luganega Sausage, Onions, Garlic"/>
    <x v="12"/>
  </r>
  <r>
    <x v="359"/>
    <s v="thai_ckn_m"/>
    <s v="Alexis Gonzalez"/>
    <n v="1"/>
    <x v="186"/>
    <x v="349"/>
    <n v="16.75"/>
    <n v="16.75"/>
    <x v="0"/>
    <x v="1"/>
    <s v="Chicken, Pineapple, Tomatoes, Red Peppers, Thai Sweet Chilli Sauce"/>
    <x v="17"/>
  </r>
  <r>
    <x v="360"/>
    <s v="calabrese_s"/>
    <s v="Samantha Walker"/>
    <n v="1"/>
    <x v="186"/>
    <x v="350"/>
    <n v="12.25"/>
    <n v="12.25"/>
    <x v="3"/>
    <x v="3"/>
    <s v="慛duja Salami, Pancetta, Tomatoes, Red Onions, Friggitello Peppers, Garlic"/>
    <x v="22"/>
  </r>
  <r>
    <x v="361"/>
    <s v="hawaiian_l"/>
    <s v="Brandon Smith"/>
    <n v="1"/>
    <x v="186"/>
    <x v="351"/>
    <n v="16.5"/>
    <n v="16.5"/>
    <x v="1"/>
    <x v="0"/>
    <s v="Sliced Ham, Pineapple, Mozzarella Cheese"/>
    <x v="18"/>
  </r>
  <r>
    <x v="362"/>
    <s v="big_meat_s"/>
    <s v="Amanda Young"/>
    <n v="1"/>
    <x v="186"/>
    <x v="352"/>
    <n v="12"/>
    <n v="12"/>
    <x v="3"/>
    <x v="0"/>
    <s v="Bacon, Pepperoni, Italian Sausage, Chorizo Sausage"/>
    <x v="24"/>
  </r>
  <r>
    <x v="363"/>
    <s v="four_cheese_m"/>
    <s v="Robert Williams"/>
    <n v="1"/>
    <x v="187"/>
    <x v="353"/>
    <n v="14.75"/>
    <n v="14.75"/>
    <x v="0"/>
    <x v="2"/>
    <s v="Ricotta Cheese, Gorgonzola Piccante Cheese, Mozzarella Cheese, Parmigiano Reggiano Cheese, Garlic"/>
    <x v="9"/>
  </r>
  <r>
    <x v="364"/>
    <s v="ital_veggie_m"/>
    <s v="Megan Thomas"/>
    <n v="1"/>
    <x v="188"/>
    <x v="354"/>
    <n v="16.75"/>
    <n v="16.75"/>
    <x v="0"/>
    <x v="2"/>
    <s v="Eggplant, Artichokes, Tomatoes, Zucchini, Red Peppers, Garlic, Pesto Sauce"/>
    <x v="11"/>
  </r>
  <r>
    <x v="365"/>
    <s v="five_cheese_l"/>
    <s v="Courtney Wright"/>
    <n v="2"/>
    <x v="188"/>
    <x v="355"/>
    <n v="18.5"/>
    <n v="37"/>
    <x v="1"/>
    <x v="2"/>
    <s v="Mozzarella Cheese, Provolone Cheese, Smoked Gouda Cheese, Romano Cheese, Blue Cheese, Garlic"/>
    <x v="2"/>
  </r>
  <r>
    <x v="366"/>
    <s v="classic_dlx_l"/>
    <s v="Madison Thompson"/>
    <n v="1"/>
    <x v="188"/>
    <x v="356"/>
    <n v="20.5"/>
    <n v="20.5"/>
    <x v="1"/>
    <x v="0"/>
    <s v="Pepperoni, Mushrooms, Red Onions, Red Peppers, Bacon"/>
    <x v="0"/>
  </r>
  <r>
    <x v="367"/>
    <s v="southw_ckn_l"/>
    <s v="Amber Carter"/>
    <n v="1"/>
    <x v="189"/>
    <x v="357"/>
    <n v="20.75"/>
    <n v="20.75"/>
    <x v="1"/>
    <x v="1"/>
    <s v="Chicken, Tomatoes, Red Peppers, Red Onions, Jalapeno Peppers, Corn, Cilantro, Chipotle Sauce"/>
    <x v="15"/>
  </r>
  <r>
    <x v="368"/>
    <s v="mexicana_l"/>
    <s v="Tyler Hernandez"/>
    <n v="1"/>
    <x v="189"/>
    <x v="358"/>
    <n v="20.25"/>
    <n v="20.25"/>
    <x v="1"/>
    <x v="2"/>
    <s v="Tomatoes, Red Peppers, Jalapeno Peppers, Red Onions, Cilantro, Corn, Chipotle Sauce, Garlic"/>
    <x v="8"/>
  </r>
  <r>
    <x v="369"/>
    <s v="ckn_pesto_l"/>
    <s v="Jennifer Baker"/>
    <n v="1"/>
    <x v="190"/>
    <x v="359"/>
    <n v="20.75"/>
    <n v="20.75"/>
    <x v="1"/>
    <x v="1"/>
    <s v="Chicken, Tomatoes, Red Peppers, Spinach, Garlic, Pesto Sauce"/>
    <x v="21"/>
  </r>
  <r>
    <x v="370"/>
    <s v="classic_dlx_s"/>
    <s v="David Parker"/>
    <n v="1"/>
    <x v="191"/>
    <x v="360"/>
    <n v="12"/>
    <n v="12"/>
    <x v="3"/>
    <x v="0"/>
    <s v="Pepperoni, Mushrooms, Red Onions, Red Peppers, Bacon"/>
    <x v="0"/>
  </r>
  <r>
    <x v="371"/>
    <s v="pepperoni_s"/>
    <s v="Jessica Walker"/>
    <n v="1"/>
    <x v="191"/>
    <x v="361"/>
    <n v="9.75"/>
    <n v="9.75"/>
    <x v="3"/>
    <x v="0"/>
    <s v="Mozzarella Cheese, Pepperoni"/>
    <x v="5"/>
  </r>
  <r>
    <x v="372"/>
    <s v="prsc_argla_m"/>
    <s v="Victoria Parker"/>
    <n v="1"/>
    <x v="191"/>
    <x v="362"/>
    <n v="16.5"/>
    <n v="16.5"/>
    <x v="0"/>
    <x v="3"/>
    <s v="Prosciutto di San Daniele, Arugula, Mozzarella Cheese"/>
    <x v="6"/>
  </r>
  <r>
    <x v="373"/>
    <s v="soppressata_l"/>
    <s v="Brianna Miller"/>
    <n v="1"/>
    <x v="191"/>
    <x v="363"/>
    <n v="20.75"/>
    <n v="20.75"/>
    <x v="1"/>
    <x v="3"/>
    <s v="Soppressata Salami, Fontina Cheese, Mozzarella Cheese, Mushrooms, Garlic"/>
    <x v="3"/>
  </r>
  <r>
    <x v="374"/>
    <s v="pep_msh_pep_s"/>
    <s v="Amanda Carter"/>
    <n v="1"/>
    <x v="192"/>
    <x v="364"/>
    <n v="11"/>
    <n v="11"/>
    <x v="3"/>
    <x v="0"/>
    <s v="Pepperoni, Mushrooms, Green Peppers"/>
    <x v="30"/>
  </r>
  <r>
    <x v="375"/>
    <s v="classic_dlx_l"/>
    <s v="Joseph Perez"/>
    <n v="1"/>
    <x v="193"/>
    <x v="365"/>
    <n v="20.5"/>
    <n v="20.5"/>
    <x v="1"/>
    <x v="0"/>
    <s v="Pepperoni, Mushrooms, Red Onions, Red Peppers, Bacon"/>
    <x v="0"/>
  </r>
  <r>
    <x v="376"/>
    <s v="napolitana_s"/>
    <s v="Christopher Johnson"/>
    <n v="1"/>
    <x v="193"/>
    <x v="366"/>
    <n v="12"/>
    <n v="12"/>
    <x v="3"/>
    <x v="0"/>
    <s v="Tomatoes, Anchovies, Green Olives, Red Onions, Garlic"/>
    <x v="26"/>
  </r>
  <r>
    <x v="377"/>
    <s v="peppr_salami_m"/>
    <s v="Brianna Sanchez"/>
    <n v="1"/>
    <x v="193"/>
    <x v="367"/>
    <n v="16.5"/>
    <n v="16.5"/>
    <x v="0"/>
    <x v="3"/>
    <s v="Genoa Salami, Capocollo, Pepperoni, Tomatoes, Asiago Cheese, Garlic"/>
    <x v="14"/>
  </r>
  <r>
    <x v="378"/>
    <s v="four_cheese_l"/>
    <s v="Noah Gonzalez"/>
    <n v="1"/>
    <x v="193"/>
    <x v="368"/>
    <n v="17.95"/>
    <n v="17.95"/>
    <x v="1"/>
    <x v="2"/>
    <s v="Ricotta Cheese, Gorgonzola Piccante Cheese, Mozzarella Cheese, Parmigiano Reggiano Cheese, Garlic"/>
    <x v="9"/>
  </r>
  <r>
    <x v="379"/>
    <s v="ckn_pesto_s"/>
    <s v="Courtney Hall"/>
    <n v="1"/>
    <x v="194"/>
    <x v="369"/>
    <n v="12.75"/>
    <n v="12.75"/>
    <x v="3"/>
    <x v="1"/>
    <s v="Chicken, Tomatoes, Red Peppers, Spinach, Garlic, Pesto Sauce"/>
    <x v="21"/>
  </r>
  <r>
    <x v="380"/>
    <s v="pepperoni_l"/>
    <s v="James White"/>
    <n v="1"/>
    <x v="194"/>
    <x v="370"/>
    <n v="15.25"/>
    <n v="15.25"/>
    <x v="1"/>
    <x v="0"/>
    <s v="Mozzarella Cheese, Pepperoni"/>
    <x v="5"/>
  </r>
  <r>
    <x v="381"/>
    <s v="pepperoni_s"/>
    <s v="Brianna Williams"/>
    <n v="1"/>
    <x v="195"/>
    <x v="371"/>
    <n v="9.75"/>
    <n v="9.75"/>
    <x v="3"/>
    <x v="0"/>
    <s v="Mozzarella Cheese, Pepperoni"/>
    <x v="5"/>
  </r>
  <r>
    <x v="382"/>
    <s v="classic_dlx_m"/>
    <s v="Stephanie King"/>
    <n v="1"/>
    <x v="195"/>
    <x v="372"/>
    <n v="16"/>
    <n v="16"/>
    <x v="0"/>
    <x v="0"/>
    <s v="Pepperoni, Mushrooms, Red Onions, Red Peppers, Bacon"/>
    <x v="0"/>
  </r>
  <r>
    <x v="383"/>
    <s v="four_cheese_l"/>
    <s v="John Sanchez"/>
    <n v="2"/>
    <x v="196"/>
    <x v="373"/>
    <n v="17.95"/>
    <n v="35.9"/>
    <x v="1"/>
    <x v="2"/>
    <s v="Ricotta Cheese, Gorgonzola Piccante Cheese, Mozzarella Cheese, Parmigiano Reggiano Cheese, Garlic"/>
    <x v="9"/>
  </r>
  <r>
    <x v="384"/>
    <s v="cali_ckn_l"/>
    <s v="Nicholas Hernandez"/>
    <n v="1"/>
    <x v="196"/>
    <x v="374"/>
    <n v="20.75"/>
    <n v="20.75"/>
    <x v="1"/>
    <x v="1"/>
    <s v="Chicken, Artichoke, Spinach, Garlic, Jalapeno Peppers, Fontina Cheese, Gouda Cheese"/>
    <x v="1"/>
  </r>
  <r>
    <x v="385"/>
    <s v="soppressata_s"/>
    <s v="Joseph Taylor"/>
    <n v="1"/>
    <x v="196"/>
    <x v="375"/>
    <n v="12.5"/>
    <n v="12.5"/>
    <x v="3"/>
    <x v="3"/>
    <s v="Soppressata Salami, Fontina Cheese, Mozzarella Cheese, Mushrooms, Garlic"/>
    <x v="3"/>
  </r>
  <r>
    <x v="386"/>
    <s v="ital_supr_s"/>
    <s v="Noah Sanchez"/>
    <n v="1"/>
    <x v="197"/>
    <x v="376"/>
    <n v="12.5"/>
    <n v="12.5"/>
    <x v="3"/>
    <x v="3"/>
    <s v="Calabrese Salami, Capocollo, Tomatoes, Red Onions, Green Olives, Garlic"/>
    <x v="7"/>
  </r>
  <r>
    <x v="387"/>
    <s v="spicy_ital_m"/>
    <s v="Robert Baker"/>
    <n v="1"/>
    <x v="198"/>
    <x v="377"/>
    <n v="16.5"/>
    <n v="16.5"/>
    <x v="0"/>
    <x v="3"/>
    <s v="Capocollo, Tomatoes, Goat Cheese, Artichokes, Peperoncini verdi, Garlic"/>
    <x v="10"/>
  </r>
  <r>
    <x v="388"/>
    <s v="southw_ckn_l"/>
    <s v="Robert Davis"/>
    <n v="1"/>
    <x v="198"/>
    <x v="378"/>
    <n v="20.75"/>
    <n v="20.75"/>
    <x v="1"/>
    <x v="1"/>
    <s v="Chicken, Tomatoes, Red Peppers, Red Onions, Jalapeno Peppers, Corn, Cilantro, Chipotle Sauce"/>
    <x v="15"/>
  </r>
  <r>
    <x v="389"/>
    <s v="cali_ckn_s"/>
    <s v="Joshua Lewis"/>
    <n v="1"/>
    <x v="199"/>
    <x v="379"/>
    <n v="12.75"/>
    <n v="12.75"/>
    <x v="3"/>
    <x v="1"/>
    <s v="Chicken, Artichoke, Spinach, Garlic, Jalapeno Peppers, Fontina Cheese, Gouda Cheese"/>
    <x v="1"/>
  </r>
  <r>
    <x v="390"/>
    <s v="ital_cpcllo_l"/>
    <s v="John Walker"/>
    <n v="1"/>
    <x v="199"/>
    <x v="380"/>
    <n v="20.5"/>
    <n v="20.5"/>
    <x v="1"/>
    <x v="0"/>
    <s v="Capocollo, Red Peppers, Tomatoes, Goat Cheese, Garlic, Oregano"/>
    <x v="25"/>
  </r>
  <r>
    <x v="391"/>
    <s v="bbq_ckn_l"/>
    <s v="Lauren White"/>
    <n v="1"/>
    <x v="200"/>
    <x v="381"/>
    <n v="20.75"/>
    <n v="20.75"/>
    <x v="1"/>
    <x v="1"/>
    <s v="Barbecued Chicken, Red Peppers, Green Peppers, Tomatoes, Red Onions, Barbecue Sauce"/>
    <x v="13"/>
  </r>
  <r>
    <x v="392"/>
    <s v="spinach_fet_l"/>
    <s v="Zachary Baker"/>
    <n v="1"/>
    <x v="201"/>
    <x v="382"/>
    <n v="20.25"/>
    <n v="20.25"/>
    <x v="1"/>
    <x v="2"/>
    <s v="Spinach, Mushrooms, Red Onions, Feta Cheese, Garlic"/>
    <x v="28"/>
  </r>
  <r>
    <x v="393"/>
    <s v="sicilian_m"/>
    <s v="Michael Williams"/>
    <n v="1"/>
    <x v="201"/>
    <x v="383"/>
    <n v="16.25"/>
    <n v="16.25"/>
    <x v="0"/>
    <x v="3"/>
    <s v="Coarse Sicilian Salami, Tomatoes, Green Olives, Luganega Sausage, Onions, Garlic"/>
    <x v="12"/>
  </r>
  <r>
    <x v="394"/>
    <s v="green_garden_s"/>
    <s v="Rachel Miller"/>
    <n v="1"/>
    <x v="202"/>
    <x v="384"/>
    <n v="12"/>
    <n v="12"/>
    <x v="3"/>
    <x v="2"/>
    <s v="Spinach, Mushrooms, Tomatoes, Green Olives, Feta Cheese"/>
    <x v="27"/>
  </r>
  <r>
    <x v="395"/>
    <s v="soppressata_m"/>
    <s v="Brandon Lee"/>
    <n v="1"/>
    <x v="202"/>
    <x v="385"/>
    <n v="16.5"/>
    <n v="16.5"/>
    <x v="0"/>
    <x v="3"/>
    <s v="Soppressata Salami, Fontina Cheese, Mozzarella Cheese, Mushrooms, Garlic"/>
    <x v="3"/>
  </r>
  <r>
    <x v="396"/>
    <s v="soppressata_l"/>
    <s v="Zachary Ramirez"/>
    <n v="1"/>
    <x v="203"/>
    <x v="386"/>
    <n v="20.75"/>
    <n v="20.75"/>
    <x v="1"/>
    <x v="3"/>
    <s v="Soppressata Salami, Fontina Cheese, Mozzarella Cheese, Mushrooms, Garlic"/>
    <x v="3"/>
  </r>
  <r>
    <x v="397"/>
    <s v="southw_ckn_l"/>
    <s v="Brandon Evans"/>
    <n v="1"/>
    <x v="203"/>
    <x v="386"/>
    <n v="20.75"/>
    <n v="20.75"/>
    <x v="1"/>
    <x v="1"/>
    <s v="Chicken, Tomatoes, Red Peppers, Red Onions, Jalapeno Peppers, Corn, Cilantro, Chipotle Sauce"/>
    <x v="15"/>
  </r>
  <r>
    <x v="398"/>
    <s v="four_cheese_l"/>
    <s v="Jennifer Green"/>
    <n v="1"/>
    <x v="203"/>
    <x v="387"/>
    <n v="17.95"/>
    <n v="17.95"/>
    <x v="1"/>
    <x v="2"/>
    <s v="Ricotta Cheese, Gorgonzola Piccante Cheese, Mozzarella Cheese, Parmigiano Reggiano Cheese, Garlic"/>
    <x v="9"/>
  </r>
  <r>
    <x v="399"/>
    <s v="the_greek_l"/>
    <s v="Sarah Wright"/>
    <n v="1"/>
    <x v="204"/>
    <x v="388"/>
    <n v="20.5"/>
    <n v="20.5"/>
    <x v="1"/>
    <x v="0"/>
    <s v="Kalamata Olives, Feta Cheese, Tomatoes, Garlic, Beef Chuck Roast, Red Onions"/>
    <x v="4"/>
  </r>
  <r>
    <x v="400"/>
    <s v="napolitana_l"/>
    <s v="William Perez"/>
    <n v="1"/>
    <x v="205"/>
    <x v="389"/>
    <n v="20.5"/>
    <n v="20.5"/>
    <x v="1"/>
    <x v="0"/>
    <s v="Tomatoes, Anchovies, Green Olives, Red Onions, Garlic"/>
    <x v="26"/>
  </r>
  <r>
    <x v="401"/>
    <s v="classic_dlx_s"/>
    <s v="Christopher Roberts"/>
    <n v="1"/>
    <x v="206"/>
    <x v="390"/>
    <n v="12"/>
    <n v="12"/>
    <x v="3"/>
    <x v="0"/>
    <s v="Pepperoni, Mushrooms, Red Onions, Red Peppers, Bacon"/>
    <x v="0"/>
  </r>
  <r>
    <x v="402"/>
    <s v="pepperoni_m"/>
    <s v="Madison Mitchell"/>
    <n v="1"/>
    <x v="207"/>
    <x v="391"/>
    <n v="12.5"/>
    <n v="12.5"/>
    <x v="0"/>
    <x v="0"/>
    <s v="Mozzarella Cheese, Pepperoni"/>
    <x v="5"/>
  </r>
  <r>
    <x v="403"/>
    <s v="pepperoni_m"/>
    <s v="Tyler Jackson"/>
    <n v="1"/>
    <x v="207"/>
    <x v="392"/>
    <n v="12.5"/>
    <n v="12.5"/>
    <x v="0"/>
    <x v="0"/>
    <s v="Mozzarella Cheese, Pepperoni"/>
    <x v="5"/>
  </r>
  <r>
    <x v="404"/>
    <s v="spin_pesto_s"/>
    <s v="Logan Green"/>
    <n v="1"/>
    <x v="208"/>
    <x v="393"/>
    <n v="12.5"/>
    <n v="12.5"/>
    <x v="3"/>
    <x v="2"/>
    <s v="Spinach, Artichokes, Tomatoes, Sun-dried Tomatoes, Garlic, Pesto Sauce"/>
    <x v="23"/>
  </r>
  <r>
    <x v="405"/>
    <s v="ital_cpcllo_s"/>
    <s v="James Phillips"/>
    <n v="1"/>
    <x v="209"/>
    <x v="394"/>
    <n v="12"/>
    <n v="12"/>
    <x v="3"/>
    <x v="0"/>
    <s v="Capocollo, Red Peppers, Tomatoes, Goat Cheese, Garlic, Oregano"/>
    <x v="25"/>
  </r>
  <r>
    <x v="406"/>
    <s v="ckn_pesto_s"/>
    <s v="Madison Moore"/>
    <n v="1"/>
    <x v="209"/>
    <x v="395"/>
    <n v="12.75"/>
    <n v="12.75"/>
    <x v="3"/>
    <x v="1"/>
    <s v="Chicken, Tomatoes, Red Peppers, Spinach, Garlic, Pesto Sauce"/>
    <x v="21"/>
  </r>
  <r>
    <x v="407"/>
    <s v="thai_ckn_l"/>
    <s v="Daniel Moore"/>
    <n v="1"/>
    <x v="210"/>
    <x v="396"/>
    <n v="20.75"/>
    <n v="20.75"/>
    <x v="1"/>
    <x v="1"/>
    <s v="Chicken, Pineapple, Tomatoes, Red Peppers, Thai Sweet Chilli Sauce"/>
    <x v="17"/>
  </r>
  <r>
    <x v="408"/>
    <s v="classic_dlx_s"/>
    <s v="Alexis King"/>
    <n v="1"/>
    <x v="210"/>
    <x v="397"/>
    <n v="12"/>
    <n v="12"/>
    <x v="3"/>
    <x v="0"/>
    <s v="Pepperoni, Mushrooms, Red Onions, Red Peppers, Bacon"/>
    <x v="0"/>
  </r>
  <r>
    <x v="409"/>
    <s v="peppr_salami_s"/>
    <s v="Daniel Ramirez"/>
    <n v="1"/>
    <x v="211"/>
    <x v="398"/>
    <n v="12.5"/>
    <n v="12.5"/>
    <x v="3"/>
    <x v="3"/>
    <s v="Genoa Salami, Capocollo, Pepperoni, Tomatoes, Asiago Cheese, Garlic"/>
    <x v="14"/>
  </r>
  <r>
    <x v="410"/>
    <s v="ckn_alfredo_l"/>
    <s v="Nicholas Thompson"/>
    <n v="1"/>
    <x v="211"/>
    <x v="399"/>
    <n v="20.75"/>
    <n v="20.75"/>
    <x v="1"/>
    <x v="1"/>
    <s v="Chicken, Red Onions, Red Peppers, Mushrooms, Asiago Cheese, Alfredo Sauce"/>
    <x v="20"/>
  </r>
  <r>
    <x v="411"/>
    <s v="bbq_ckn_s"/>
    <s v="Amber Lee"/>
    <n v="1"/>
    <x v="212"/>
    <x v="400"/>
    <n v="12.75"/>
    <n v="12.75"/>
    <x v="3"/>
    <x v="1"/>
    <s v="Barbecued Chicken, Red Peppers, Green Peppers, Tomatoes, Red Onions, Barbecue Sauce"/>
    <x v="13"/>
  </r>
  <r>
    <x v="412"/>
    <s v="spinach_supr_s"/>
    <s v="Samantha Williams"/>
    <n v="1"/>
    <x v="212"/>
    <x v="401"/>
    <n v="12.5"/>
    <n v="12.5"/>
    <x v="3"/>
    <x v="3"/>
    <s v="Spinach, Red Onions, Pepperoni, Tomatoes, Artichokes, Kalamata Olives, Garlic, Asiago Cheese"/>
    <x v="29"/>
  </r>
  <r>
    <x v="413"/>
    <s v="mediterraneo_m"/>
    <s v="Alexis Smith"/>
    <n v="1"/>
    <x v="213"/>
    <x v="402"/>
    <n v="16"/>
    <n v="16"/>
    <x v="0"/>
    <x v="2"/>
    <s v="Spinach, Artichokes, Kalamata Olives, Sun-dried Tomatoes, Feta Cheese, Plum Tomatoes, Red Onions"/>
    <x v="16"/>
  </r>
  <r>
    <x v="414"/>
    <s v="pep_msh_pep_m"/>
    <s v="Amanda Phillips"/>
    <n v="1"/>
    <x v="214"/>
    <x v="403"/>
    <n v="14.5"/>
    <n v="14.5"/>
    <x v="0"/>
    <x v="0"/>
    <s v="Pepperoni, Mushrooms, Green Peppers"/>
    <x v="30"/>
  </r>
  <r>
    <x v="415"/>
    <s v="classic_dlx_s"/>
    <s v="Joshua Hill"/>
    <n v="1"/>
    <x v="215"/>
    <x v="404"/>
    <n v="12"/>
    <n v="12"/>
    <x v="3"/>
    <x v="0"/>
    <s v="Pepperoni, Mushrooms, Red Onions, Red Peppers, Bacon"/>
    <x v="0"/>
  </r>
  <r>
    <x v="416"/>
    <s v="four_cheese_l"/>
    <s v="Brandon Collins"/>
    <n v="1"/>
    <x v="216"/>
    <x v="405"/>
    <n v="17.95"/>
    <n v="17.95"/>
    <x v="1"/>
    <x v="2"/>
    <s v="Ricotta Cheese, Gorgonzola Piccante Cheese, Mozzarella Cheese, Parmigiano Reggiano Cheese, Garlic"/>
    <x v="9"/>
  </r>
  <r>
    <x v="417"/>
    <s v="pep_msh_pep_l"/>
    <s v="Madison Lee"/>
    <n v="1"/>
    <x v="216"/>
    <x v="406"/>
    <n v="17.5"/>
    <n v="17.5"/>
    <x v="1"/>
    <x v="0"/>
    <s v="Pepperoni, Mushrooms, Green Peppers"/>
    <x v="30"/>
  </r>
  <r>
    <x v="418"/>
    <s v="pep_msh_pep_s"/>
    <s v="John Evans"/>
    <n v="1"/>
    <x v="216"/>
    <x v="407"/>
    <n v="11"/>
    <n v="11"/>
    <x v="3"/>
    <x v="0"/>
    <s v="Pepperoni, Mushrooms, Green Peppers"/>
    <x v="30"/>
  </r>
  <r>
    <x v="419"/>
    <s v="pepperoni_m"/>
    <s v="Emily Brown"/>
    <n v="1"/>
    <x v="217"/>
    <x v="408"/>
    <n v="12.5"/>
    <n v="12.5"/>
    <x v="0"/>
    <x v="0"/>
    <s v="Mozzarella Cheese, Pepperoni"/>
    <x v="5"/>
  </r>
  <r>
    <x v="420"/>
    <s v="classic_dlx_l"/>
    <s v="Michael Thomas"/>
    <n v="1"/>
    <x v="218"/>
    <x v="409"/>
    <n v="20.5"/>
    <n v="20.5"/>
    <x v="1"/>
    <x v="0"/>
    <s v="Pepperoni, Mushrooms, Red Onions, Red Peppers, Bacon"/>
    <x v="0"/>
  </r>
  <r>
    <x v="421"/>
    <s v="thai_ckn_l"/>
    <s v="Emily Phillips"/>
    <n v="1"/>
    <x v="219"/>
    <x v="410"/>
    <n v="20.75"/>
    <n v="20.75"/>
    <x v="1"/>
    <x v="1"/>
    <s v="Chicken, Pineapple, Tomatoes, Red Peppers, Thai Sweet Chilli Sauce"/>
    <x v="17"/>
  </r>
  <r>
    <x v="422"/>
    <s v="ckn_alfredo_m"/>
    <s v="Samantha Baker"/>
    <n v="1"/>
    <x v="220"/>
    <x v="411"/>
    <n v="16.75"/>
    <n v="16.75"/>
    <x v="0"/>
    <x v="1"/>
    <s v="Chicken, Red Onions, Red Peppers, Mushrooms, Asiago Cheese, Alfredo Sauce"/>
    <x v="20"/>
  </r>
  <r>
    <x v="423"/>
    <s v="ckn_alfredo_s"/>
    <s v="Noah Nelson"/>
    <n v="1"/>
    <x v="220"/>
    <x v="412"/>
    <n v="12.75"/>
    <n v="12.75"/>
    <x v="3"/>
    <x v="1"/>
    <s v="Chicken, Red Onions, Red Peppers, Mushrooms, Asiago Cheese, Alfredo Sauce"/>
    <x v="20"/>
  </r>
  <r>
    <x v="424"/>
    <s v="thai_ckn_l"/>
    <s v="Robert Hernandez"/>
    <n v="1"/>
    <x v="220"/>
    <x v="413"/>
    <n v="20.75"/>
    <n v="20.75"/>
    <x v="1"/>
    <x v="1"/>
    <s v="Chicken, Pineapple, Tomatoes, Red Peppers, Thai Sweet Chilli Sauce"/>
    <x v="17"/>
  </r>
  <r>
    <x v="425"/>
    <s v="napolitana_l"/>
    <s v="Nicholas Jones"/>
    <n v="1"/>
    <x v="221"/>
    <x v="414"/>
    <n v="20.5"/>
    <n v="20.5"/>
    <x v="1"/>
    <x v="0"/>
    <s v="Tomatoes, Anchovies, Green Olives, Red Onions, Garlic"/>
    <x v="26"/>
  </r>
  <r>
    <x v="426"/>
    <s v="mediterraneo_l"/>
    <s v="Madison Hernandez"/>
    <n v="1"/>
    <x v="221"/>
    <x v="415"/>
    <n v="20.25"/>
    <n v="20.25"/>
    <x v="1"/>
    <x v="2"/>
    <s v="Spinach, Artichokes, Kalamata Olives, Sun-dried Tomatoes, Feta Cheese, Plum Tomatoes, Red Onions"/>
    <x v="16"/>
  </r>
  <r>
    <x v="427"/>
    <s v="spinach_fet_l"/>
    <s v="James Jones"/>
    <n v="1"/>
    <x v="221"/>
    <x v="415"/>
    <n v="20.25"/>
    <n v="20.25"/>
    <x v="1"/>
    <x v="2"/>
    <s v="Spinach, Mushrooms, Red Onions, Feta Cheese, Garlic"/>
    <x v="28"/>
  </r>
  <r>
    <x v="428"/>
    <s v="four_cheese_l"/>
    <s v="Rachel Roberts"/>
    <n v="1"/>
    <x v="221"/>
    <x v="416"/>
    <n v="17.95"/>
    <n v="17.95"/>
    <x v="1"/>
    <x v="2"/>
    <s v="Ricotta Cheese, Gorgonzola Piccante Cheese, Mozzarella Cheese, Parmigiano Reggiano Cheese, Garlic"/>
    <x v="9"/>
  </r>
  <r>
    <x v="429"/>
    <s v="ital_supr_m"/>
    <s v="Robert Hill"/>
    <n v="1"/>
    <x v="222"/>
    <x v="417"/>
    <n v="16.5"/>
    <n v="16.5"/>
    <x v="0"/>
    <x v="3"/>
    <s v="Calabrese Salami, Capocollo, Tomatoes, Red Onions, Green Olives, Garlic"/>
    <x v="7"/>
  </r>
  <r>
    <x v="430"/>
    <s v="mediterraneo_l"/>
    <s v="Daniel Parker"/>
    <n v="1"/>
    <x v="222"/>
    <x v="418"/>
    <n v="20.25"/>
    <n v="20.25"/>
    <x v="1"/>
    <x v="2"/>
    <s v="Spinach, Artichokes, Kalamata Olives, Sun-dried Tomatoes, Feta Cheese, Plum Tomatoes, Red Onions"/>
    <x v="16"/>
  </r>
  <r>
    <x v="431"/>
    <s v="sicilian_s"/>
    <s v="Brittany Baker"/>
    <n v="1"/>
    <x v="222"/>
    <x v="419"/>
    <n v="12.25"/>
    <n v="12.25"/>
    <x v="3"/>
    <x v="3"/>
    <s v="Coarse Sicilian Salami, Tomatoes, Green Olives, Luganega Sausage, Onions, Garlic"/>
    <x v="12"/>
  </r>
  <r>
    <x v="432"/>
    <s v="ital_cpcllo_l"/>
    <s v="Jacob Smith"/>
    <n v="1"/>
    <x v="223"/>
    <x v="420"/>
    <n v="20.5"/>
    <n v="20.5"/>
    <x v="1"/>
    <x v="0"/>
    <s v="Capocollo, Red Peppers, Tomatoes, Goat Cheese, Garlic, Oregano"/>
    <x v="25"/>
  </r>
  <r>
    <x v="433"/>
    <s v="spicy_ital_s"/>
    <s v="Emily Taylor"/>
    <n v="1"/>
    <x v="224"/>
    <x v="421"/>
    <n v="12.5"/>
    <n v="12.5"/>
    <x v="3"/>
    <x v="3"/>
    <s v="Capocollo, Tomatoes, Goat Cheese, Artichokes, Peperoncini verdi, Garlic"/>
    <x v="10"/>
  </r>
  <r>
    <x v="434"/>
    <s v="spinach_supr_m"/>
    <s v="William Gonzalez"/>
    <n v="1"/>
    <x v="225"/>
    <x v="422"/>
    <n v="16.5"/>
    <n v="16.5"/>
    <x v="0"/>
    <x v="3"/>
    <s v="Spinach, Red Onions, Pepperoni, Tomatoes, Artichokes, Kalamata Olives, Garlic, Asiago Cheese"/>
    <x v="29"/>
  </r>
  <r>
    <x v="435"/>
    <s v="mexicana_l"/>
    <s v="Ashley Clark"/>
    <n v="1"/>
    <x v="226"/>
    <x v="423"/>
    <n v="20.25"/>
    <n v="20.25"/>
    <x v="1"/>
    <x v="2"/>
    <s v="Tomatoes, Red Peppers, Jalapeno Peppers, Red Onions, Cilantro, Corn, Chipotle Sauce, Garlic"/>
    <x v="8"/>
  </r>
  <r>
    <x v="436"/>
    <s v="ital_cpcllo_m"/>
    <s v="Courtney Williams"/>
    <n v="1"/>
    <x v="227"/>
    <x v="424"/>
    <n v="16"/>
    <n v="16"/>
    <x v="0"/>
    <x v="0"/>
    <s v="Capocollo, Red Peppers, Tomatoes, Goat Cheese, Garlic, Oregano"/>
    <x v="25"/>
  </r>
  <r>
    <x v="437"/>
    <s v="pepperoni_s"/>
    <s v="Sophia Jones"/>
    <n v="1"/>
    <x v="228"/>
    <x v="425"/>
    <n v="9.75"/>
    <n v="9.75"/>
    <x v="3"/>
    <x v="0"/>
    <s v="Mozzarella Cheese, Pepperoni"/>
    <x v="5"/>
  </r>
  <r>
    <x v="438"/>
    <s v="classic_dlx_s"/>
    <s v="Alexis Evans"/>
    <n v="1"/>
    <x v="229"/>
    <x v="426"/>
    <n v="12"/>
    <n v="12"/>
    <x v="3"/>
    <x v="0"/>
    <s v="Pepperoni, Mushrooms, Red Onions, Red Peppers, Bacon"/>
    <x v="0"/>
  </r>
  <r>
    <x v="439"/>
    <s v="mexicana_l"/>
    <s v="David Gonzalez"/>
    <n v="1"/>
    <x v="230"/>
    <x v="427"/>
    <n v="20.25"/>
    <n v="20.25"/>
    <x v="1"/>
    <x v="2"/>
    <s v="Tomatoes, Red Peppers, Jalapeno Peppers, Red Onions, Cilantro, Corn, Chipotle Sauce, Garlic"/>
    <x v="8"/>
  </r>
  <r>
    <x v="440"/>
    <s v="southw_ckn_m"/>
    <s v="Samantha Jackson"/>
    <n v="1"/>
    <x v="231"/>
    <x v="428"/>
    <n v="16.75"/>
    <n v="16.75"/>
    <x v="0"/>
    <x v="1"/>
    <s v="Chicken, Tomatoes, Red Peppers, Red Onions, Jalapeno Peppers, Corn, Cilantro, Chipotle Sauce"/>
    <x v="15"/>
  </r>
  <r>
    <x v="441"/>
    <s v="brie_carre_s"/>
    <s v="Brianna Young"/>
    <n v="1"/>
    <x v="232"/>
    <x v="429"/>
    <n v="23.65"/>
    <n v="23.65"/>
    <x v="3"/>
    <x v="3"/>
    <s v="Brie Carre Cheese, Prosciutto, Caramelized Onions, Pears, Thyme, Garlic"/>
    <x v="31"/>
  </r>
  <r>
    <x v="442"/>
    <s v="peppr_salami_l"/>
    <s v="Alexis Torres"/>
    <n v="1"/>
    <x v="232"/>
    <x v="430"/>
    <n v="20.75"/>
    <n v="20.75"/>
    <x v="1"/>
    <x v="3"/>
    <s v="Genoa Salami, Capocollo, Pepperoni, Tomatoes, Asiago Cheese, Garlic"/>
    <x v="14"/>
  </r>
  <r>
    <x v="443"/>
    <s v="ckn_pesto_m"/>
    <s v="Tyler Brown"/>
    <n v="1"/>
    <x v="233"/>
    <x v="431"/>
    <n v="16.75"/>
    <n v="16.75"/>
    <x v="0"/>
    <x v="1"/>
    <s v="Chicken, Tomatoes, Red Peppers, Spinach, Garlic, Pesto Sauce"/>
    <x v="21"/>
  </r>
  <r>
    <x v="444"/>
    <s v="spinach_fet_s"/>
    <s v="Tyler Clark"/>
    <n v="1"/>
    <x v="234"/>
    <x v="432"/>
    <n v="12"/>
    <n v="12"/>
    <x v="3"/>
    <x v="2"/>
    <s v="Spinach, Mushrooms, Red Onions, Feta Cheese, Garlic"/>
    <x v="28"/>
  </r>
  <r>
    <x v="445"/>
    <s v="hawaiian_l"/>
    <s v="Sarah Jones"/>
    <n v="1"/>
    <x v="235"/>
    <x v="433"/>
    <n v="16.5"/>
    <n v="16.5"/>
    <x v="1"/>
    <x v="0"/>
    <s v="Sliced Ham, Pineapple, Mozzarella Cheese"/>
    <x v="18"/>
  </r>
  <r>
    <x v="446"/>
    <s v="the_greek_m"/>
    <s v="Courtney Moore"/>
    <n v="1"/>
    <x v="235"/>
    <x v="434"/>
    <n v="16"/>
    <n v="16"/>
    <x v="0"/>
    <x v="0"/>
    <s v="Kalamata Olives, Feta Cheese, Tomatoes, Garlic, Beef Chuck Roast, Red Onions"/>
    <x v="4"/>
  </r>
  <r>
    <x v="447"/>
    <s v="bbq_ckn_l"/>
    <s v="Andrew Hernandez"/>
    <n v="2"/>
    <x v="235"/>
    <x v="435"/>
    <n v="20.75"/>
    <n v="41.5"/>
    <x v="1"/>
    <x v="1"/>
    <s v="Barbecued Chicken, Red Peppers, Green Peppers, Tomatoes, Red Onions, Barbecue Sauce"/>
    <x v="13"/>
  </r>
  <r>
    <x v="448"/>
    <s v="five_cheese_l"/>
    <s v="Joshua Thompson"/>
    <n v="1"/>
    <x v="236"/>
    <x v="436"/>
    <n v="18.5"/>
    <n v="18.5"/>
    <x v="1"/>
    <x v="2"/>
    <s v="Mozzarella Cheese, Provolone Cheese, Smoked Gouda Cheese, Romano Cheese, Blue Cheese, Garlic"/>
    <x v="2"/>
  </r>
  <r>
    <x v="449"/>
    <s v="pepperoni_l"/>
    <s v="Logan Smith"/>
    <n v="1"/>
    <x v="236"/>
    <x v="437"/>
    <n v="15.25"/>
    <n v="15.25"/>
    <x v="1"/>
    <x v="0"/>
    <s v="Mozzarella Cheese, Pepperoni"/>
    <x v="5"/>
  </r>
  <r>
    <x v="450"/>
    <s v="spin_pesto_s"/>
    <s v="Lauren Robinson"/>
    <n v="1"/>
    <x v="236"/>
    <x v="438"/>
    <n v="12.5"/>
    <n v="12.5"/>
    <x v="3"/>
    <x v="2"/>
    <s v="Spinach, Artichokes, Tomatoes, Sun-dried Tomatoes, Garlic, Pesto Sauce"/>
    <x v="23"/>
  </r>
  <r>
    <x v="451"/>
    <s v="hawaiian_s"/>
    <s v="Alexis Hill"/>
    <n v="1"/>
    <x v="237"/>
    <x v="439"/>
    <n v="10.5"/>
    <n v="10.5"/>
    <x v="3"/>
    <x v="0"/>
    <s v="Sliced Ham, Pineapple, Mozzarella Cheese"/>
    <x v="18"/>
  </r>
  <r>
    <x v="452"/>
    <s v="cali_ckn_m"/>
    <s v="Jennifer Taylor"/>
    <n v="1"/>
    <x v="238"/>
    <x v="440"/>
    <n v="16.75"/>
    <n v="16.75"/>
    <x v="0"/>
    <x v="1"/>
    <s v="Chicken, Artichoke, Spinach, Garlic, Jalapeno Peppers, Fontina Cheese, Gouda Cheese"/>
    <x v="1"/>
  </r>
  <r>
    <x v="453"/>
    <s v="spinach_fet_m"/>
    <s v="Victoria Martinez"/>
    <n v="1"/>
    <x v="239"/>
    <x v="441"/>
    <n v="16"/>
    <n v="16"/>
    <x v="0"/>
    <x v="2"/>
    <s v="Spinach, Mushrooms, Red Onions, Feta Cheese, Garlic"/>
    <x v="28"/>
  </r>
  <r>
    <x v="454"/>
    <s v="ital_veggie_m"/>
    <s v="William Johnson"/>
    <n v="1"/>
    <x v="239"/>
    <x v="442"/>
    <n v="16.75"/>
    <n v="16.75"/>
    <x v="0"/>
    <x v="2"/>
    <s v="Eggplant, Artichokes, Tomatoes, Zucchini, Red Peppers, Garlic, Pesto Sauce"/>
    <x v="11"/>
  </r>
  <r>
    <x v="455"/>
    <s v="mediterraneo_s"/>
    <s v="Tyler Wright"/>
    <n v="1"/>
    <x v="240"/>
    <x v="443"/>
    <n v="12"/>
    <n v="12"/>
    <x v="3"/>
    <x v="2"/>
    <s v="Spinach, Artichokes, Kalamata Olives, Sun-dried Tomatoes, Feta Cheese, Plum Tomatoes, Red Onions"/>
    <x v="16"/>
  </r>
  <r>
    <x v="456"/>
    <s v="veggie_veg_s"/>
    <s v="Rachel Torres"/>
    <n v="1"/>
    <x v="241"/>
    <x v="444"/>
    <n v="12"/>
    <n v="12"/>
    <x v="3"/>
    <x v="2"/>
    <s v="Mushrooms, Tomatoes, Red Peppers, Green Peppers, Red Onions, Zucchini, Spinach, Garlic"/>
    <x v="19"/>
  </r>
  <r>
    <x v="457"/>
    <s v="five_cheese_l"/>
    <s v="Robert Lopez"/>
    <n v="1"/>
    <x v="242"/>
    <x v="445"/>
    <n v="18.5"/>
    <n v="18.5"/>
    <x v="1"/>
    <x v="2"/>
    <s v="Mozzarella Cheese, Provolone Cheese, Smoked Gouda Cheese, Romano Cheese, Blue Cheese, Garlic"/>
    <x v="2"/>
  </r>
  <r>
    <x v="458"/>
    <s v="big_meat_s"/>
    <s v="Brianna Turner"/>
    <n v="1"/>
    <x v="242"/>
    <x v="446"/>
    <n v="12"/>
    <n v="12"/>
    <x v="3"/>
    <x v="0"/>
    <s v="Bacon, Pepperoni, Italian Sausage, Chorizo Sausage"/>
    <x v="24"/>
  </r>
  <r>
    <x v="459"/>
    <s v="ckn_pesto_s"/>
    <s v="Andrew King"/>
    <n v="1"/>
    <x v="242"/>
    <x v="447"/>
    <n v="12.75"/>
    <n v="12.75"/>
    <x v="3"/>
    <x v="1"/>
    <s v="Chicken, Tomatoes, Red Peppers, Spinach, Garlic, Pesto Sauce"/>
    <x v="21"/>
  </r>
  <r>
    <x v="460"/>
    <s v="spinach_fet_l"/>
    <s v="Matthew King"/>
    <n v="1"/>
    <x v="243"/>
    <x v="448"/>
    <n v="20.25"/>
    <n v="20.25"/>
    <x v="1"/>
    <x v="2"/>
    <s v="Spinach, Mushrooms, Red Onions, Feta Cheese, Garlic"/>
    <x v="28"/>
  </r>
  <r>
    <x v="461"/>
    <s v="veggie_veg_l"/>
    <s v="Daniel Phillips"/>
    <n v="1"/>
    <x v="243"/>
    <x v="449"/>
    <n v="20.25"/>
    <n v="20.25"/>
    <x v="1"/>
    <x v="2"/>
    <s v="Mushrooms, Tomatoes, Red Peppers, Green Peppers, Red Onions, Zucchini, Spinach, Garlic"/>
    <x v="19"/>
  </r>
  <r>
    <x v="462"/>
    <s v="bbq_ckn_s"/>
    <s v="Andrew Moore"/>
    <n v="1"/>
    <x v="244"/>
    <x v="450"/>
    <n v="12.75"/>
    <n v="12.75"/>
    <x v="3"/>
    <x v="1"/>
    <s v="Barbecued Chicken, Red Peppers, Green Peppers, Tomatoes, Red Onions, Barbecue Sauce"/>
    <x v="13"/>
  </r>
  <r>
    <x v="463"/>
    <s v="thai_ckn_m"/>
    <s v="Lauren Brown"/>
    <n v="1"/>
    <x v="244"/>
    <x v="451"/>
    <n v="16.75"/>
    <n v="16.75"/>
    <x v="0"/>
    <x v="1"/>
    <s v="Chicken, Pineapple, Tomatoes, Red Peppers, Thai Sweet Chilli Sauce"/>
    <x v="17"/>
  </r>
  <r>
    <x v="464"/>
    <s v="ital_cpcllo_l"/>
    <s v="Jessica King"/>
    <n v="1"/>
    <x v="245"/>
    <x v="452"/>
    <n v="20.5"/>
    <n v="20.5"/>
    <x v="1"/>
    <x v="0"/>
    <s v="Capocollo, Red Peppers, Tomatoes, Goat Cheese, Garlic, Oregano"/>
    <x v="25"/>
  </r>
  <r>
    <x v="465"/>
    <s v="spicy_ital_l"/>
    <s v="Sarah Clark"/>
    <n v="1"/>
    <x v="245"/>
    <x v="453"/>
    <n v="20.75"/>
    <n v="20.75"/>
    <x v="1"/>
    <x v="3"/>
    <s v="Capocollo, Tomatoes, Goat Cheese, Artichokes, Peperoncini verdi, Garlic"/>
    <x v="10"/>
  </r>
  <r>
    <x v="466"/>
    <s v="classic_dlx_s"/>
    <s v="Brandon Allen"/>
    <n v="1"/>
    <x v="246"/>
    <x v="454"/>
    <n v="12"/>
    <n v="12"/>
    <x v="3"/>
    <x v="0"/>
    <s v="Pepperoni, Mushrooms, Red Onions, Red Peppers, Bacon"/>
    <x v="0"/>
  </r>
  <r>
    <x v="467"/>
    <s v="ital_cpcllo_s"/>
    <s v="Sophia Moore"/>
    <n v="1"/>
    <x v="246"/>
    <x v="455"/>
    <n v="12"/>
    <n v="12"/>
    <x v="3"/>
    <x v="0"/>
    <s v="Capocollo, Red Peppers, Tomatoes, Goat Cheese, Garlic, Oregano"/>
    <x v="25"/>
  </r>
  <r>
    <x v="468"/>
    <s v="thai_ckn_m"/>
    <s v="Elizabeth Hill"/>
    <n v="1"/>
    <x v="246"/>
    <x v="456"/>
    <n v="16.75"/>
    <n v="16.75"/>
    <x v="0"/>
    <x v="1"/>
    <s v="Chicken, Pineapple, Tomatoes, Red Peppers, Thai Sweet Chilli Sauce"/>
    <x v="17"/>
  </r>
  <r>
    <x v="469"/>
    <s v="hawaiian_s"/>
    <s v="Matthew Ramirez"/>
    <n v="1"/>
    <x v="247"/>
    <x v="457"/>
    <n v="10.5"/>
    <n v="10.5"/>
    <x v="3"/>
    <x v="0"/>
    <s v="Sliced Ham, Pineapple, Mozzarella Cheese"/>
    <x v="18"/>
  </r>
  <r>
    <x v="470"/>
    <s v="calabrese_l"/>
    <s v="Michael Johnson"/>
    <n v="1"/>
    <x v="247"/>
    <x v="458"/>
    <n v="20.25"/>
    <n v="20.25"/>
    <x v="1"/>
    <x v="3"/>
    <s v="慛duja Salami, Pancetta, Tomatoes, Red Onions, Friggitello Peppers, Garlic"/>
    <x v="22"/>
  </r>
  <r>
    <x v="471"/>
    <s v="pep_msh_pep_s"/>
    <s v="Rachel Evans"/>
    <n v="1"/>
    <x v="248"/>
    <x v="459"/>
    <n v="11"/>
    <n v="11"/>
    <x v="3"/>
    <x v="0"/>
    <s v="Pepperoni, Mushrooms, Green Peppers"/>
    <x v="30"/>
  </r>
  <r>
    <x v="472"/>
    <s v="mediterraneo_l"/>
    <s v="Olivia Martinez"/>
    <n v="1"/>
    <x v="249"/>
    <x v="460"/>
    <n v="20.25"/>
    <n v="20.25"/>
    <x v="1"/>
    <x v="2"/>
    <s v="Spinach, Artichokes, Kalamata Olives, Sun-dried Tomatoes, Feta Cheese, Plum Tomatoes, Red Onions"/>
    <x v="16"/>
  </r>
  <r>
    <x v="473"/>
    <s v="spinach_supr_s"/>
    <s v="Joshua Phillips"/>
    <n v="1"/>
    <x v="249"/>
    <x v="460"/>
    <n v="12.5"/>
    <n v="12.5"/>
    <x v="3"/>
    <x v="3"/>
    <s v="Spinach, Red Onions, Pepperoni, Tomatoes, Artichokes, Kalamata Olives, Garlic, Asiago Cheese"/>
    <x v="29"/>
  </r>
  <r>
    <x v="474"/>
    <s v="ital_veggie_m"/>
    <s v="Linda Hernandez"/>
    <n v="1"/>
    <x v="249"/>
    <x v="461"/>
    <n v="16.75"/>
    <n v="16.75"/>
    <x v="0"/>
    <x v="2"/>
    <s v="Eggplant, Artichokes, Tomatoes, Zucchini, Red Peppers, Garlic, Pesto Sauce"/>
    <x v="11"/>
  </r>
  <r>
    <x v="475"/>
    <s v="peppr_salami_m"/>
    <s v="Linda Parker"/>
    <n v="1"/>
    <x v="250"/>
    <x v="462"/>
    <n v="16.5"/>
    <n v="16.5"/>
    <x v="0"/>
    <x v="3"/>
    <s v="Genoa Salami, Capocollo, Pepperoni, Tomatoes, Asiago Cheese, Garlic"/>
    <x v="14"/>
  </r>
  <r>
    <x v="476"/>
    <s v="ital_veggie_m"/>
    <s v="Tyler Robinson"/>
    <n v="1"/>
    <x v="250"/>
    <x v="463"/>
    <n v="16.75"/>
    <n v="16.75"/>
    <x v="0"/>
    <x v="2"/>
    <s v="Eggplant, Artichokes, Tomatoes, Zucchini, Red Peppers, Garlic, Pesto Sauce"/>
    <x v="11"/>
  </r>
  <r>
    <x v="477"/>
    <s v="brie_carre_s"/>
    <s v="Joseph Collins"/>
    <n v="1"/>
    <x v="251"/>
    <x v="464"/>
    <n v="23.65"/>
    <n v="23.65"/>
    <x v="3"/>
    <x v="3"/>
    <s v="Brie Carre Cheese, Prosciutto, Caramelized Onions, Pears, Thyme, Garlic"/>
    <x v="31"/>
  </r>
  <r>
    <x v="478"/>
    <s v="green_garden_m"/>
    <s v="Kayla Jackson"/>
    <n v="1"/>
    <x v="252"/>
    <x v="465"/>
    <n v="16"/>
    <n v="16"/>
    <x v="0"/>
    <x v="2"/>
    <s v="Spinach, Mushrooms, Tomatoes, Green Olives, Feta Cheese"/>
    <x v="27"/>
  </r>
  <r>
    <x v="479"/>
    <s v="spicy_ital_l"/>
    <s v="William Williams"/>
    <n v="1"/>
    <x v="252"/>
    <x v="466"/>
    <n v="20.75"/>
    <n v="20.75"/>
    <x v="1"/>
    <x v="3"/>
    <s v="Capocollo, Tomatoes, Goat Cheese, Artichokes, Peperoncini verdi, Garlic"/>
    <x v="10"/>
  </r>
  <r>
    <x v="480"/>
    <s v="soppressata_l"/>
    <s v="David Williams"/>
    <n v="1"/>
    <x v="253"/>
    <x v="467"/>
    <n v="20.75"/>
    <n v="20.75"/>
    <x v="1"/>
    <x v="3"/>
    <s v="Soppressata Salami, Fontina Cheese, Mozzarella Cheese, Mushrooms, Garlic"/>
    <x v="3"/>
  </r>
  <r>
    <x v="481"/>
    <s v="big_meat_s"/>
    <s v="Emily Jones"/>
    <n v="1"/>
    <x v="254"/>
    <x v="468"/>
    <n v="12"/>
    <n v="12"/>
    <x v="3"/>
    <x v="0"/>
    <s v="Bacon, Pepperoni, Italian Sausage, Chorizo Sausage"/>
    <x v="24"/>
  </r>
  <r>
    <x v="482"/>
    <s v="soppressata_s"/>
    <s v="Jessica Lee"/>
    <n v="1"/>
    <x v="254"/>
    <x v="469"/>
    <n v="12.5"/>
    <n v="12.5"/>
    <x v="3"/>
    <x v="3"/>
    <s v="Soppressata Salami, Fontina Cheese, Mozzarella Cheese, Mushrooms, Garlic"/>
    <x v="3"/>
  </r>
  <r>
    <x v="483"/>
    <s v="ckn_pesto_m"/>
    <s v="Nicholas Moore"/>
    <n v="1"/>
    <x v="254"/>
    <x v="470"/>
    <n v="16.75"/>
    <n v="16.75"/>
    <x v="0"/>
    <x v="1"/>
    <s v="Chicken, Tomatoes, Red Peppers, Spinach, Garlic, Pesto Sauce"/>
    <x v="21"/>
  </r>
  <r>
    <x v="484"/>
    <s v="big_meat_s"/>
    <s v="Amanda Thompson"/>
    <n v="1"/>
    <x v="255"/>
    <x v="471"/>
    <n v="12"/>
    <n v="12"/>
    <x v="3"/>
    <x v="0"/>
    <s v="Bacon, Pepperoni, Italian Sausage, Chorizo Sausage"/>
    <x v="24"/>
  </r>
  <r>
    <x v="485"/>
    <s v="four_cheese_m"/>
    <s v="Zachary Lee"/>
    <n v="1"/>
    <x v="255"/>
    <x v="472"/>
    <n v="14.75"/>
    <n v="14.75"/>
    <x v="0"/>
    <x v="2"/>
    <s v="Ricotta Cheese, Gorgonzola Piccante Cheese, Mozzarella Cheese, Parmigiano Reggiano Cheese, Garlic"/>
    <x v="9"/>
  </r>
  <r>
    <x v="486"/>
    <s v="southw_ckn_m"/>
    <s v="Ashley Roberts"/>
    <n v="1"/>
    <x v="256"/>
    <x v="473"/>
    <n v="16.75"/>
    <n v="16.75"/>
    <x v="0"/>
    <x v="1"/>
    <s v="Chicken, Tomatoes, Red Peppers, Red Onions, Jalapeno Peppers, Corn, Cilantro, Chipotle Sauce"/>
    <x v="15"/>
  </r>
  <r>
    <x v="487"/>
    <s v="napolitana_m"/>
    <s v="Jennifer Lee"/>
    <n v="1"/>
    <x v="257"/>
    <x v="474"/>
    <n v="16"/>
    <n v="16"/>
    <x v="0"/>
    <x v="0"/>
    <s v="Tomatoes, Anchovies, Green Olives, Red Onions, Garlic"/>
    <x v="26"/>
  </r>
  <r>
    <x v="488"/>
    <s v="prsc_argla_m"/>
    <s v="Taylor Hernandez"/>
    <n v="1"/>
    <x v="257"/>
    <x v="475"/>
    <n v="16.5"/>
    <n v="16.5"/>
    <x v="0"/>
    <x v="3"/>
    <s v="Prosciutto di San Daniele, Arugula, Mozzarella Cheese"/>
    <x v="6"/>
  </r>
  <r>
    <x v="489"/>
    <s v="classic_dlx_l"/>
    <s v="Elizabeth Gonzalez"/>
    <n v="1"/>
    <x v="257"/>
    <x v="476"/>
    <n v="20.5"/>
    <n v="20.5"/>
    <x v="1"/>
    <x v="0"/>
    <s v="Pepperoni, Mushrooms, Red Onions, Red Peppers, Bacon"/>
    <x v="0"/>
  </r>
  <r>
    <x v="490"/>
    <s v="mexicana_l"/>
    <s v="Logan Baker"/>
    <n v="1"/>
    <x v="257"/>
    <x v="477"/>
    <n v="20.25"/>
    <n v="20.25"/>
    <x v="1"/>
    <x v="2"/>
    <s v="Tomatoes, Red Peppers, Jalapeno Peppers, Red Onions, Cilantro, Corn, Chipotle Sauce, Garlic"/>
    <x v="8"/>
  </r>
  <r>
    <x v="491"/>
    <s v="pep_msh_pep_l"/>
    <s v="Linda Martinez"/>
    <n v="1"/>
    <x v="258"/>
    <x v="478"/>
    <n v="17.5"/>
    <n v="17.5"/>
    <x v="1"/>
    <x v="0"/>
    <s v="Pepperoni, Mushrooms, Green Peppers"/>
    <x v="30"/>
  </r>
  <r>
    <x v="492"/>
    <s v="five_cheese_l"/>
    <s v="Rachel White"/>
    <n v="1"/>
    <x v="259"/>
    <x v="479"/>
    <n v="18.5"/>
    <n v="18.5"/>
    <x v="1"/>
    <x v="2"/>
    <s v="Mozzarella Cheese, Provolone Cheese, Smoked Gouda Cheese, Romano Cheese, Blue Cheese, Garlic"/>
    <x v="2"/>
  </r>
  <r>
    <x v="493"/>
    <s v="ital_supr_l"/>
    <s v="Robert Evans"/>
    <n v="1"/>
    <x v="260"/>
    <x v="480"/>
    <n v="20.75"/>
    <n v="20.75"/>
    <x v="1"/>
    <x v="3"/>
    <s v="Calabrese Salami, Capocollo, Tomatoes, Red Onions, Green Olives, Garlic"/>
    <x v="7"/>
  </r>
  <r>
    <x v="494"/>
    <s v="pepperoni_l"/>
    <s v="Tyler Adams"/>
    <n v="1"/>
    <x v="260"/>
    <x v="481"/>
    <n v="15.25"/>
    <n v="15.25"/>
    <x v="1"/>
    <x v="0"/>
    <s v="Mozzarella Cheese, Pepperoni"/>
    <x v="5"/>
  </r>
  <r>
    <x v="495"/>
    <s v="napolitana_s"/>
    <s v="Kayla Evans"/>
    <n v="1"/>
    <x v="260"/>
    <x v="482"/>
    <n v="12"/>
    <n v="12"/>
    <x v="3"/>
    <x v="0"/>
    <s v="Tomatoes, Anchovies, Green Olives, Red Onions, Garlic"/>
    <x v="26"/>
  </r>
  <r>
    <x v="496"/>
    <s v="classic_dlx_s"/>
    <s v="Ethan Robinson"/>
    <n v="1"/>
    <x v="260"/>
    <x v="483"/>
    <n v="12"/>
    <n v="12"/>
    <x v="3"/>
    <x v="0"/>
    <s v="Pepperoni, Mushrooms, Red Onions, Red Peppers, Bacon"/>
    <x v="0"/>
  </r>
  <r>
    <x v="497"/>
    <s v="pep_msh_pep_m"/>
    <s v="Jessica Walker"/>
    <n v="1"/>
    <x v="260"/>
    <x v="101"/>
    <n v="14.5"/>
    <n v="14.5"/>
    <x v="0"/>
    <x v="0"/>
    <s v="Pepperoni, Mushrooms, Green Peppers"/>
    <x v="30"/>
  </r>
  <r>
    <x v="498"/>
    <s v="hawaiian_s"/>
    <s v="Courtney Young"/>
    <n v="1"/>
    <x v="260"/>
    <x v="484"/>
    <n v="10.5"/>
    <n v="10.5"/>
    <x v="3"/>
    <x v="0"/>
    <s v="Sliced Ham, Pineapple, Mozzarella Cheese"/>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ACD256-3B57-4947-B14A-9FFDD135FE84}" name="PivotTable7"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E32:F43" firstHeaderRow="1" firstDataRow="1" firstDataCol="1"/>
  <pivotFields count="15">
    <pivotField showAll="0"/>
    <pivotField showAll="0"/>
    <pivotField showAll="0"/>
    <pivotField showAll="0"/>
    <pivotField showAll="0">
      <items count="262">
        <item x="7"/>
        <item x="8"/>
        <item x="9"/>
        <item x="10"/>
        <item x="11"/>
        <item x="12"/>
        <item x="13"/>
        <item x="14"/>
        <item x="15"/>
        <item x="16"/>
        <item x="17"/>
        <item x="18"/>
        <item x="19"/>
        <item x="20"/>
        <item x="21"/>
        <item x="22"/>
        <item x="201"/>
        <item x="202"/>
        <item x="203"/>
        <item x="204"/>
        <item x="205"/>
        <item x="206"/>
        <item x="207"/>
        <item x="208"/>
        <item x="209"/>
        <item x="210"/>
        <item x="211"/>
        <item x="212"/>
        <item x="213"/>
        <item x="214"/>
        <item x="215"/>
        <item x="216"/>
        <item x="226"/>
        <item x="227"/>
        <item x="228"/>
        <item x="229"/>
        <item x="230"/>
        <item x="231"/>
        <item x="232"/>
        <item x="233"/>
        <item x="234"/>
        <item x="235"/>
        <item x="236"/>
        <item x="237"/>
        <item x="238"/>
        <item x="249"/>
        <item x="250"/>
        <item x="251"/>
        <item x="252"/>
        <item x="253"/>
        <item x="254"/>
        <item x="255"/>
        <item x="256"/>
        <item x="257"/>
        <item x="258"/>
        <item x="259"/>
        <item x="260"/>
        <item x="32"/>
        <item x="33"/>
        <item x="34"/>
        <item x="35"/>
        <item x="36"/>
        <item x="37"/>
        <item x="38"/>
        <item x="39"/>
        <item x="40"/>
        <item x="41"/>
        <item x="50"/>
        <item x="51"/>
        <item x="52"/>
        <item x="53"/>
        <item x="54"/>
        <item x="55"/>
        <item x="56"/>
        <item x="57"/>
        <item x="58"/>
        <item x="59"/>
        <item x="60"/>
        <item x="69"/>
        <item x="70"/>
        <item x="71"/>
        <item x="72"/>
        <item x="73"/>
        <item x="74"/>
        <item x="75"/>
        <item x="76"/>
        <item x="77"/>
        <item x="78"/>
        <item x="87"/>
        <item x="88"/>
        <item x="89"/>
        <item x="90"/>
        <item x="91"/>
        <item x="92"/>
        <item x="93"/>
        <item x="94"/>
        <item x="95"/>
        <item x="96"/>
        <item x="97"/>
        <item x="98"/>
        <item x="99"/>
        <item x="108"/>
        <item x="109"/>
        <item x="110"/>
        <item x="111"/>
        <item x="112"/>
        <item x="113"/>
        <item x="114"/>
        <item x="115"/>
        <item x="116"/>
        <item x="117"/>
        <item x="118"/>
        <item x="119"/>
        <item x="120"/>
        <item x="121"/>
        <item x="122"/>
        <item x="130"/>
        <item x="131"/>
        <item x="132"/>
        <item x="133"/>
        <item x="134"/>
        <item x="135"/>
        <item x="136"/>
        <item x="137"/>
        <item x="138"/>
        <item x="139"/>
        <item x="140"/>
        <item x="141"/>
        <item x="142"/>
        <item x="143"/>
        <item x="144"/>
        <item x="145"/>
        <item x="146"/>
        <item x="157"/>
        <item x="158"/>
        <item x="159"/>
        <item x="160"/>
        <item x="161"/>
        <item x="162"/>
        <item x="163"/>
        <item x="164"/>
        <item x="165"/>
        <item x="166"/>
        <item x="167"/>
        <item x="168"/>
        <item x="169"/>
        <item x="170"/>
        <item x="181"/>
        <item x="182"/>
        <item x="183"/>
        <item x="184"/>
        <item x="185"/>
        <item x="186"/>
        <item x="187"/>
        <item x="188"/>
        <item x="189"/>
        <item x="190"/>
        <item x="191"/>
        <item x="192"/>
        <item x="0"/>
        <item x="23"/>
        <item x="42"/>
        <item x="61"/>
        <item x="79"/>
        <item x="100"/>
        <item x="171"/>
        <item x="193"/>
        <item x="217"/>
        <item x="239"/>
        <item x="24"/>
        <item x="62"/>
        <item x="101"/>
        <item x="123"/>
        <item x="147"/>
        <item x="194"/>
        <item x="218"/>
        <item x="240"/>
        <item x="1"/>
        <item x="25"/>
        <item x="43"/>
        <item x="102"/>
        <item x="124"/>
        <item x="148"/>
        <item x="172"/>
        <item x="195"/>
        <item x="219"/>
        <item x="241"/>
        <item x="44"/>
        <item x="63"/>
        <item x="125"/>
        <item x="173"/>
        <item x="196"/>
        <item x="242"/>
        <item x="26"/>
        <item x="45"/>
        <item x="80"/>
        <item x="103"/>
        <item x="126"/>
        <item x="149"/>
        <item x="174"/>
        <item x="2"/>
        <item x="27"/>
        <item x="46"/>
        <item x="64"/>
        <item x="81"/>
        <item x="104"/>
        <item x="150"/>
        <item x="175"/>
        <item x="220"/>
        <item x="28"/>
        <item x="47"/>
        <item x="127"/>
        <item x="151"/>
        <item x="176"/>
        <item x="197"/>
        <item x="221"/>
        <item x="243"/>
        <item x="3"/>
        <item x="29"/>
        <item x="65"/>
        <item x="82"/>
        <item x="152"/>
        <item x="177"/>
        <item x="198"/>
        <item x="222"/>
        <item x="244"/>
        <item x="30"/>
        <item x="48"/>
        <item x="66"/>
        <item x="83"/>
        <item x="105"/>
        <item x="153"/>
        <item x="199"/>
        <item x="223"/>
        <item x="245"/>
        <item x="4"/>
        <item x="84"/>
        <item x="106"/>
        <item x="128"/>
        <item x="154"/>
        <item x="178"/>
        <item x="200"/>
        <item x="224"/>
        <item x="246"/>
        <item x="5"/>
        <item x="49"/>
        <item x="67"/>
        <item x="85"/>
        <item x="129"/>
        <item x="155"/>
        <item x="179"/>
        <item x="247"/>
        <item x="6"/>
        <item x="31"/>
        <item x="68"/>
        <item x="86"/>
        <item x="107"/>
        <item x="156"/>
        <item x="180"/>
        <item x="225"/>
        <item x="248"/>
        <item t="default"/>
      </items>
    </pivotField>
    <pivotField numFmtId="19" showAll="0">
      <items count="486">
        <item x="98"/>
        <item x="114"/>
        <item x="382"/>
        <item x="450"/>
        <item x="157"/>
        <item x="381"/>
        <item x="174"/>
        <item x="306"/>
        <item x="479"/>
        <item x="275"/>
        <item x="85"/>
        <item x="429"/>
        <item x="103"/>
        <item x="111"/>
        <item x="433"/>
        <item x="347"/>
        <item x="252"/>
        <item x="468"/>
        <item x="448"/>
        <item x="104"/>
        <item x="258"/>
        <item x="18"/>
        <item x="217"/>
        <item x="0"/>
        <item x="110"/>
        <item x="277"/>
        <item x="10"/>
        <item x="264"/>
        <item x="188"/>
        <item x="175"/>
        <item x="126"/>
        <item x="42"/>
        <item x="425"/>
        <item x="266"/>
        <item x="405"/>
        <item x="480"/>
        <item x="337"/>
        <item x="29"/>
        <item x="300"/>
        <item x="384"/>
        <item x="247"/>
        <item x="176"/>
        <item x="32"/>
        <item x="432"/>
        <item x="365"/>
        <item x="411"/>
        <item x="13"/>
        <item x="68"/>
        <item x="481"/>
        <item x="320"/>
        <item x="133"/>
        <item x="124"/>
        <item x="290"/>
        <item x="334"/>
        <item x="285"/>
        <item x="160"/>
        <item x="270"/>
        <item x="91"/>
        <item x="20"/>
        <item x="360"/>
        <item x="198"/>
        <item x="97"/>
        <item x="354"/>
        <item x="329"/>
        <item x="76"/>
        <item x="184"/>
        <item x="33"/>
        <item x="376"/>
        <item x="321"/>
        <item x="311"/>
        <item x="93"/>
        <item x="263"/>
        <item x="449"/>
        <item x="309"/>
        <item x="353"/>
        <item x="452"/>
        <item x="482"/>
        <item x="22"/>
        <item x="202"/>
        <item x="127"/>
        <item x="53"/>
        <item x="357"/>
        <item x="1"/>
        <item x="149"/>
        <item x="161"/>
        <item x="156"/>
        <item x="253"/>
        <item x="389"/>
        <item x="130"/>
        <item x="204"/>
        <item x="319"/>
        <item x="147"/>
        <item x="56"/>
        <item x="112"/>
        <item x="234"/>
        <item x="358"/>
        <item x="473"/>
        <item x="386"/>
        <item x="99"/>
        <item x="369"/>
        <item x="150"/>
        <item x="151"/>
        <item x="324"/>
        <item x="225"/>
        <item x="393"/>
        <item x="391"/>
        <item x="30"/>
        <item x="158"/>
        <item x="261"/>
        <item x="25"/>
        <item x="338"/>
        <item x="359"/>
        <item x="31"/>
        <item x="11"/>
        <item x="27"/>
        <item x="377"/>
        <item x="214"/>
        <item x="171"/>
        <item x="272"/>
        <item x="467"/>
        <item x="361"/>
        <item x="443"/>
        <item x="406"/>
        <item x="71"/>
        <item x="207"/>
        <item x="54"/>
        <item x="454"/>
        <item x="249"/>
        <item x="117"/>
        <item x="86"/>
        <item x="193"/>
        <item x="362"/>
        <item x="44"/>
        <item x="38"/>
        <item x="185"/>
        <item x="373"/>
        <item x="172"/>
        <item x="74"/>
        <item x="289"/>
        <item x="335"/>
        <item x="79"/>
        <item x="278"/>
        <item x="245"/>
        <item x="374"/>
        <item x="51"/>
        <item x="445"/>
        <item x="205"/>
        <item x="460"/>
        <item x="125"/>
        <item x="168"/>
        <item x="344"/>
        <item x="333"/>
        <item x="336"/>
        <item x="7"/>
        <item x="177"/>
        <item x="210"/>
        <item x="194"/>
        <item x="316"/>
        <item x="69"/>
        <item x="295"/>
        <item x="474"/>
        <item x="424"/>
        <item x="90"/>
        <item x="410"/>
        <item x="121"/>
        <item x="26"/>
        <item x="453"/>
        <item x="475"/>
        <item x="379"/>
        <item x="118"/>
        <item x="248"/>
        <item x="152"/>
        <item x="66"/>
        <item x="218"/>
        <item x="215"/>
        <item x="349"/>
        <item x="307"/>
        <item x="220"/>
        <item x="179"/>
        <item x="421"/>
        <item x="4"/>
        <item x="366"/>
        <item x="163"/>
        <item x="383"/>
        <item x="403"/>
        <item x="138"/>
        <item x="483"/>
        <item x="6"/>
        <item x="208"/>
        <item x="478"/>
        <item x="159"/>
        <item x="417"/>
        <item x="476"/>
        <item x="221"/>
        <item x="135"/>
        <item x="363"/>
        <item x="296"/>
        <item x="189"/>
        <item x="128"/>
        <item x="250"/>
        <item x="164"/>
        <item x="120"/>
        <item x="80"/>
        <item x="465"/>
        <item x="178"/>
        <item x="23"/>
        <item x="242"/>
        <item x="371"/>
        <item x="286"/>
        <item x="322"/>
        <item x="35"/>
        <item x="14"/>
        <item x="216"/>
        <item x="34"/>
        <item x="346"/>
        <item x="412"/>
        <item x="281"/>
        <item x="268"/>
        <item x="132"/>
        <item x="246"/>
        <item x="254"/>
        <item x="303"/>
        <item x="105"/>
        <item x="422"/>
        <item x="106"/>
        <item x="243"/>
        <item x="81"/>
        <item x="400"/>
        <item x="297"/>
        <item x="293"/>
        <item x="408"/>
        <item x="462"/>
        <item x="414"/>
        <item x="72"/>
        <item x="291"/>
        <item x="139"/>
        <item x="401"/>
        <item x="100"/>
        <item x="257"/>
        <item x="209"/>
        <item x="92"/>
        <item x="457"/>
        <item x="181"/>
        <item x="299"/>
        <item x="191"/>
        <item x="455"/>
        <item x="441"/>
        <item x="165"/>
        <item x="46"/>
        <item x="101"/>
        <item x="463"/>
        <item x="131"/>
        <item x="227"/>
        <item x="190"/>
        <item x="36"/>
        <item x="267"/>
        <item x="122"/>
        <item x="294"/>
        <item x="229"/>
        <item x="43"/>
        <item x="206"/>
        <item x="477"/>
        <item x="119"/>
        <item x="134"/>
        <item x="244"/>
        <item x="211"/>
        <item x="312"/>
        <item x="40"/>
        <item x="326"/>
        <item x="5"/>
        <item x="301"/>
        <item x="199"/>
        <item x="330"/>
        <item x="203"/>
        <item x="102"/>
        <item x="310"/>
        <item x="50"/>
        <item x="304"/>
        <item x="70"/>
        <item x="279"/>
        <item x="222"/>
        <item x="169"/>
        <item x="392"/>
        <item x="136"/>
        <item x="173"/>
        <item x="239"/>
        <item x="339"/>
        <item x="380"/>
        <item x="58"/>
        <item x="413"/>
        <item x="144"/>
        <item x="235"/>
        <item x="140"/>
        <item x="141"/>
        <item x="219"/>
        <item x="186"/>
        <item x="350"/>
        <item x="142"/>
        <item x="444"/>
        <item x="342"/>
        <item x="67"/>
        <item x="327"/>
        <item x="375"/>
        <item x="77"/>
        <item x="123"/>
        <item x="426"/>
        <item x="41"/>
        <item x="428"/>
        <item x="446"/>
        <item x="355"/>
        <item x="418"/>
        <item x="170"/>
        <item x="345"/>
        <item x="420"/>
        <item x="55"/>
        <item x="447"/>
        <item x="442"/>
        <item x="145"/>
        <item x="59"/>
        <item x="409"/>
        <item x="196"/>
        <item x="385"/>
        <item x="459"/>
        <item x="331"/>
        <item x="137"/>
        <item x="17"/>
        <item x="404"/>
        <item x="484"/>
        <item x="469"/>
        <item x="88"/>
        <item x="356"/>
        <item x="65"/>
        <item x="195"/>
        <item x="431"/>
        <item x="89"/>
        <item x="415"/>
        <item x="430"/>
        <item x="226"/>
        <item x="372"/>
        <item x="148"/>
        <item x="317"/>
        <item x="82"/>
        <item x="187"/>
        <item x="394"/>
        <item x="284"/>
        <item x="451"/>
        <item x="166"/>
        <item x="28"/>
        <item x="464"/>
        <item x="62"/>
        <item x="340"/>
        <item x="197"/>
        <item x="276"/>
        <item x="115"/>
        <item x="39"/>
        <item x="251"/>
        <item x="378"/>
        <item x="61"/>
        <item x="73"/>
        <item x="24"/>
        <item x="200"/>
        <item x="423"/>
        <item x="47"/>
        <item x="323"/>
        <item x="419"/>
        <item x="398"/>
        <item x="269"/>
        <item x="308"/>
        <item x="21"/>
        <item x="471"/>
        <item x="15"/>
        <item x="370"/>
        <item x="274"/>
        <item x="182"/>
        <item x="271"/>
        <item x="332"/>
        <item x="436"/>
        <item x="45"/>
        <item x="364"/>
        <item x="228"/>
        <item x="83"/>
        <item x="466"/>
        <item x="116"/>
        <item x="434"/>
        <item x="146"/>
        <item x="435"/>
        <item x="96"/>
        <item x="439"/>
        <item x="78"/>
        <item x="60"/>
        <item x="255"/>
        <item x="52"/>
        <item x="313"/>
        <item x="129"/>
        <item x="95"/>
        <item x="367"/>
        <item x="461"/>
        <item x="2"/>
        <item x="396"/>
        <item x="259"/>
        <item x="48"/>
        <item x="388"/>
        <item x="241"/>
        <item x="240"/>
        <item x="212"/>
        <item x="440"/>
        <item x="84"/>
        <item x="236"/>
        <item x="87"/>
        <item x="9"/>
        <item x="458"/>
        <item x="399"/>
        <item x="57"/>
        <item x="8"/>
        <item x="318"/>
        <item x="19"/>
        <item x="328"/>
        <item x="256"/>
        <item x="153"/>
        <item x="237"/>
        <item x="162"/>
        <item x="351"/>
        <item x="265"/>
        <item x="180"/>
        <item x="12"/>
        <item x="395"/>
        <item x="37"/>
        <item x="143"/>
        <item x="427"/>
        <item x="282"/>
        <item x="390"/>
        <item x="387"/>
        <item x="230"/>
        <item x="298"/>
        <item x="292"/>
        <item x="302"/>
        <item x="231"/>
        <item x="213"/>
        <item x="273"/>
        <item x="416"/>
        <item x="154"/>
        <item x="224"/>
        <item x="223"/>
        <item x="113"/>
        <item x="368"/>
        <item x="280"/>
        <item x="352"/>
        <item x="348"/>
        <item x="183"/>
        <item x="63"/>
        <item x="49"/>
        <item x="155"/>
        <item x="260"/>
        <item x="472"/>
        <item x="262"/>
        <item x="470"/>
        <item x="232"/>
        <item x="287"/>
        <item x="233"/>
        <item x="437"/>
        <item x="341"/>
        <item x="288"/>
        <item x="75"/>
        <item x="107"/>
        <item x="407"/>
        <item x="402"/>
        <item x="3"/>
        <item x="456"/>
        <item x="201"/>
        <item x="108"/>
        <item x="438"/>
        <item x="94"/>
        <item x="109"/>
        <item x="343"/>
        <item x="314"/>
        <item x="16"/>
        <item x="305"/>
        <item x="325"/>
        <item x="167"/>
        <item x="397"/>
        <item x="283"/>
        <item x="192"/>
        <item x="238"/>
        <item x="315"/>
        <item x="64"/>
        <item t="default"/>
      </items>
    </pivotField>
    <pivotField showAll="0"/>
    <pivotField dataField="1" showAll="0"/>
    <pivotField showAll="0">
      <items count="5">
        <item x="1"/>
        <item x="0"/>
        <item x="3"/>
        <item x="2"/>
        <item t="default"/>
      </items>
    </pivotField>
    <pivotField showAll="0">
      <items count="5">
        <item x="1"/>
        <item x="0"/>
        <item x="3"/>
        <item x="2"/>
        <item t="default"/>
      </items>
    </pivotField>
    <pivotField showAll="0"/>
    <pivotField axis="axisRow" showAll="0" measureFilter="1" sortType="descending">
      <items count="33">
        <item x="19"/>
        <item x="17"/>
        <item x="29"/>
        <item x="23"/>
        <item x="28"/>
        <item x="10"/>
        <item x="15"/>
        <item x="3"/>
        <item x="12"/>
        <item x="6"/>
        <item x="30"/>
        <item x="5"/>
        <item x="14"/>
        <item x="26"/>
        <item x="8"/>
        <item x="16"/>
        <item x="11"/>
        <item x="7"/>
        <item x="25"/>
        <item x="18"/>
        <item x="27"/>
        <item x="4"/>
        <item x="9"/>
        <item x="2"/>
        <item x="0"/>
        <item x="21"/>
        <item x="20"/>
        <item x="1"/>
        <item x="22"/>
        <item x="31"/>
        <item x="24"/>
        <item x="13"/>
        <item t="default"/>
      </items>
      <autoSortScope>
        <pivotArea dataOnly="0" outline="0" fieldPosition="0">
          <references count="1">
            <reference field="4294967294" count="1" selected="0">
              <x v="0"/>
            </reference>
          </references>
        </pivotArea>
      </autoSortScope>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11"/>
  </rowFields>
  <rowItems count="11">
    <i>
      <x v="24"/>
    </i>
    <i>
      <x v="22"/>
    </i>
    <i>
      <x v="1"/>
    </i>
    <i>
      <x v="21"/>
    </i>
    <i>
      <x v="31"/>
    </i>
    <i>
      <x v="8"/>
    </i>
    <i>
      <x v="14"/>
    </i>
    <i>
      <x v="11"/>
    </i>
    <i>
      <x v="6"/>
    </i>
    <i>
      <x v="5"/>
    </i>
    <i t="grand">
      <x/>
    </i>
  </rowItems>
  <colItems count="1">
    <i/>
  </colItems>
  <dataFields count="1">
    <dataField name="Sum of Sales" fld="7" baseField="0" baseItem="0"/>
  </dataFields>
  <chartFormats count="2">
    <chartFormat chart="29" format="4" series="1">
      <pivotArea type="data" outline="0" fieldPosition="0">
        <references count="1">
          <reference field="4294967294" count="1" selected="0">
            <x v="0"/>
          </reference>
        </references>
      </pivotArea>
    </chartFormat>
    <chartFormat chart="29" format="5">
      <pivotArea type="data" outline="0" fieldPosition="0">
        <references count="2">
          <reference field="4294967294" count="1" selected="0">
            <x v="0"/>
          </reference>
          <reference field="11" count="1" selected="0">
            <x v="24"/>
          </reference>
        </references>
      </pivotArea>
    </chartFormat>
  </chartFormats>
  <pivotTableStyleInfo name="PivotStyleLight16" showRowHeaders="1" showColHeaders="1" showRowStripes="0" showColStripes="0" showLastColumn="1"/>
  <filters count="1">
    <filter fld="1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AA81CE-8E26-4461-9BB9-0796D089B0BF}" name="Pivo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E22:F28" firstHeaderRow="1" firstDataRow="1" firstDataCol="1"/>
  <pivotFields count="15">
    <pivotField showAll="0"/>
    <pivotField showAll="0"/>
    <pivotField showAll="0"/>
    <pivotField showAll="0"/>
    <pivotField showAll="0">
      <items count="262">
        <item x="7"/>
        <item x="8"/>
        <item x="9"/>
        <item x="10"/>
        <item x="11"/>
        <item x="12"/>
        <item x="13"/>
        <item x="14"/>
        <item x="15"/>
        <item x="16"/>
        <item x="17"/>
        <item x="18"/>
        <item x="19"/>
        <item x="20"/>
        <item x="21"/>
        <item x="22"/>
        <item x="201"/>
        <item x="202"/>
        <item x="203"/>
        <item x="204"/>
        <item x="205"/>
        <item x="206"/>
        <item x="207"/>
        <item x="208"/>
        <item x="209"/>
        <item x="210"/>
        <item x="211"/>
        <item x="212"/>
        <item x="213"/>
        <item x="214"/>
        <item x="215"/>
        <item x="216"/>
        <item x="226"/>
        <item x="227"/>
        <item x="228"/>
        <item x="229"/>
        <item x="230"/>
        <item x="231"/>
        <item x="232"/>
        <item x="233"/>
        <item x="234"/>
        <item x="235"/>
        <item x="236"/>
        <item x="237"/>
        <item x="238"/>
        <item x="249"/>
        <item x="250"/>
        <item x="251"/>
        <item x="252"/>
        <item x="253"/>
        <item x="254"/>
        <item x="255"/>
        <item x="256"/>
        <item x="257"/>
        <item x="258"/>
        <item x="259"/>
        <item x="260"/>
        <item x="32"/>
        <item x="33"/>
        <item x="34"/>
        <item x="35"/>
        <item x="36"/>
        <item x="37"/>
        <item x="38"/>
        <item x="39"/>
        <item x="40"/>
        <item x="41"/>
        <item x="50"/>
        <item x="51"/>
        <item x="52"/>
        <item x="53"/>
        <item x="54"/>
        <item x="55"/>
        <item x="56"/>
        <item x="57"/>
        <item x="58"/>
        <item x="59"/>
        <item x="60"/>
        <item x="69"/>
        <item x="70"/>
        <item x="71"/>
        <item x="72"/>
        <item x="73"/>
        <item x="74"/>
        <item x="75"/>
        <item x="76"/>
        <item x="77"/>
        <item x="78"/>
        <item x="87"/>
        <item x="88"/>
        <item x="89"/>
        <item x="90"/>
        <item x="91"/>
        <item x="92"/>
        <item x="93"/>
        <item x="94"/>
        <item x="95"/>
        <item x="96"/>
        <item x="97"/>
        <item x="98"/>
        <item x="99"/>
        <item x="108"/>
        <item x="109"/>
        <item x="110"/>
        <item x="111"/>
        <item x="112"/>
        <item x="113"/>
        <item x="114"/>
        <item x="115"/>
        <item x="116"/>
        <item x="117"/>
        <item x="118"/>
        <item x="119"/>
        <item x="120"/>
        <item x="121"/>
        <item x="122"/>
        <item x="130"/>
        <item x="131"/>
        <item x="132"/>
        <item x="133"/>
        <item x="134"/>
        <item x="135"/>
        <item x="136"/>
        <item x="137"/>
        <item x="138"/>
        <item x="139"/>
        <item x="140"/>
        <item x="141"/>
        <item x="142"/>
        <item x="143"/>
        <item x="144"/>
        <item x="145"/>
        <item x="146"/>
        <item x="157"/>
        <item x="158"/>
        <item x="159"/>
        <item x="160"/>
        <item x="161"/>
        <item x="162"/>
        <item x="163"/>
        <item x="164"/>
        <item x="165"/>
        <item x="166"/>
        <item x="167"/>
        <item x="168"/>
        <item x="169"/>
        <item x="170"/>
        <item x="181"/>
        <item x="182"/>
        <item x="183"/>
        <item x="184"/>
        <item x="185"/>
        <item x="186"/>
        <item x="187"/>
        <item x="188"/>
        <item x="189"/>
        <item x="190"/>
        <item x="191"/>
        <item x="192"/>
        <item x="0"/>
        <item x="23"/>
        <item x="42"/>
        <item x="61"/>
        <item x="79"/>
        <item x="100"/>
        <item x="171"/>
        <item x="193"/>
        <item x="217"/>
        <item x="239"/>
        <item x="24"/>
        <item x="62"/>
        <item x="101"/>
        <item x="123"/>
        <item x="147"/>
        <item x="194"/>
        <item x="218"/>
        <item x="240"/>
        <item x="1"/>
        <item x="25"/>
        <item x="43"/>
        <item x="102"/>
        <item x="124"/>
        <item x="148"/>
        <item x="172"/>
        <item x="195"/>
        <item x="219"/>
        <item x="241"/>
        <item x="44"/>
        <item x="63"/>
        <item x="125"/>
        <item x="173"/>
        <item x="196"/>
        <item x="242"/>
        <item x="26"/>
        <item x="45"/>
        <item x="80"/>
        <item x="103"/>
        <item x="126"/>
        <item x="149"/>
        <item x="174"/>
        <item x="2"/>
        <item x="27"/>
        <item x="46"/>
        <item x="64"/>
        <item x="81"/>
        <item x="104"/>
        <item x="150"/>
        <item x="175"/>
        <item x="220"/>
        <item x="28"/>
        <item x="47"/>
        <item x="127"/>
        <item x="151"/>
        <item x="176"/>
        <item x="197"/>
        <item x="221"/>
        <item x="243"/>
        <item x="3"/>
        <item x="29"/>
        <item x="65"/>
        <item x="82"/>
        <item x="152"/>
        <item x="177"/>
        <item x="198"/>
        <item x="222"/>
        <item x="244"/>
        <item x="30"/>
        <item x="48"/>
        <item x="66"/>
        <item x="83"/>
        <item x="105"/>
        <item x="153"/>
        <item x="199"/>
        <item x="223"/>
        <item x="245"/>
        <item x="4"/>
        <item x="84"/>
        <item x="106"/>
        <item x="128"/>
        <item x="154"/>
        <item x="178"/>
        <item x="200"/>
        <item x="224"/>
        <item x="246"/>
        <item x="5"/>
        <item x="49"/>
        <item x="67"/>
        <item x="85"/>
        <item x="129"/>
        <item x="155"/>
        <item x="179"/>
        <item x="247"/>
        <item x="6"/>
        <item x="31"/>
        <item x="68"/>
        <item x="86"/>
        <item x="107"/>
        <item x="156"/>
        <item x="180"/>
        <item x="225"/>
        <item x="248"/>
        <item t="default"/>
      </items>
    </pivotField>
    <pivotField numFmtId="19" showAll="0">
      <items count="486">
        <item x="98"/>
        <item x="114"/>
        <item x="382"/>
        <item x="450"/>
        <item x="157"/>
        <item x="381"/>
        <item x="174"/>
        <item x="306"/>
        <item x="479"/>
        <item x="275"/>
        <item x="85"/>
        <item x="429"/>
        <item x="103"/>
        <item x="111"/>
        <item x="433"/>
        <item x="347"/>
        <item x="252"/>
        <item x="468"/>
        <item x="448"/>
        <item x="104"/>
        <item x="258"/>
        <item x="18"/>
        <item x="217"/>
        <item x="0"/>
        <item x="110"/>
        <item x="277"/>
        <item x="10"/>
        <item x="264"/>
        <item x="188"/>
        <item x="175"/>
        <item x="126"/>
        <item x="42"/>
        <item x="425"/>
        <item x="266"/>
        <item x="405"/>
        <item x="480"/>
        <item x="337"/>
        <item x="29"/>
        <item x="300"/>
        <item x="384"/>
        <item x="247"/>
        <item x="176"/>
        <item x="32"/>
        <item x="432"/>
        <item x="365"/>
        <item x="411"/>
        <item x="13"/>
        <item x="68"/>
        <item x="481"/>
        <item x="320"/>
        <item x="133"/>
        <item x="124"/>
        <item x="290"/>
        <item x="334"/>
        <item x="285"/>
        <item x="160"/>
        <item x="270"/>
        <item x="91"/>
        <item x="20"/>
        <item x="360"/>
        <item x="198"/>
        <item x="97"/>
        <item x="354"/>
        <item x="329"/>
        <item x="76"/>
        <item x="184"/>
        <item x="33"/>
        <item x="376"/>
        <item x="321"/>
        <item x="311"/>
        <item x="93"/>
        <item x="263"/>
        <item x="449"/>
        <item x="309"/>
        <item x="353"/>
        <item x="452"/>
        <item x="482"/>
        <item x="22"/>
        <item x="202"/>
        <item x="127"/>
        <item x="53"/>
        <item x="357"/>
        <item x="1"/>
        <item x="149"/>
        <item x="161"/>
        <item x="156"/>
        <item x="253"/>
        <item x="389"/>
        <item x="130"/>
        <item x="204"/>
        <item x="319"/>
        <item x="147"/>
        <item x="56"/>
        <item x="112"/>
        <item x="234"/>
        <item x="358"/>
        <item x="473"/>
        <item x="386"/>
        <item x="99"/>
        <item x="369"/>
        <item x="150"/>
        <item x="151"/>
        <item x="324"/>
        <item x="225"/>
        <item x="393"/>
        <item x="391"/>
        <item x="30"/>
        <item x="158"/>
        <item x="261"/>
        <item x="25"/>
        <item x="338"/>
        <item x="359"/>
        <item x="31"/>
        <item x="11"/>
        <item x="27"/>
        <item x="377"/>
        <item x="214"/>
        <item x="171"/>
        <item x="272"/>
        <item x="467"/>
        <item x="361"/>
        <item x="443"/>
        <item x="406"/>
        <item x="71"/>
        <item x="207"/>
        <item x="54"/>
        <item x="454"/>
        <item x="249"/>
        <item x="117"/>
        <item x="86"/>
        <item x="193"/>
        <item x="362"/>
        <item x="44"/>
        <item x="38"/>
        <item x="185"/>
        <item x="373"/>
        <item x="172"/>
        <item x="74"/>
        <item x="289"/>
        <item x="335"/>
        <item x="79"/>
        <item x="278"/>
        <item x="245"/>
        <item x="374"/>
        <item x="51"/>
        <item x="445"/>
        <item x="205"/>
        <item x="460"/>
        <item x="125"/>
        <item x="168"/>
        <item x="344"/>
        <item x="333"/>
        <item x="336"/>
        <item x="7"/>
        <item x="177"/>
        <item x="210"/>
        <item x="194"/>
        <item x="316"/>
        <item x="69"/>
        <item x="295"/>
        <item x="474"/>
        <item x="424"/>
        <item x="90"/>
        <item x="410"/>
        <item x="121"/>
        <item x="26"/>
        <item x="453"/>
        <item x="475"/>
        <item x="379"/>
        <item x="118"/>
        <item x="248"/>
        <item x="152"/>
        <item x="66"/>
        <item x="218"/>
        <item x="215"/>
        <item x="349"/>
        <item x="307"/>
        <item x="220"/>
        <item x="179"/>
        <item x="421"/>
        <item x="4"/>
        <item x="366"/>
        <item x="163"/>
        <item x="383"/>
        <item x="403"/>
        <item x="138"/>
        <item x="483"/>
        <item x="6"/>
        <item x="208"/>
        <item x="478"/>
        <item x="159"/>
        <item x="417"/>
        <item x="476"/>
        <item x="221"/>
        <item x="135"/>
        <item x="363"/>
        <item x="296"/>
        <item x="189"/>
        <item x="128"/>
        <item x="250"/>
        <item x="164"/>
        <item x="120"/>
        <item x="80"/>
        <item x="465"/>
        <item x="178"/>
        <item x="23"/>
        <item x="242"/>
        <item x="371"/>
        <item x="286"/>
        <item x="322"/>
        <item x="35"/>
        <item x="14"/>
        <item x="216"/>
        <item x="34"/>
        <item x="346"/>
        <item x="412"/>
        <item x="281"/>
        <item x="268"/>
        <item x="132"/>
        <item x="246"/>
        <item x="254"/>
        <item x="303"/>
        <item x="105"/>
        <item x="422"/>
        <item x="106"/>
        <item x="243"/>
        <item x="81"/>
        <item x="400"/>
        <item x="297"/>
        <item x="293"/>
        <item x="408"/>
        <item x="462"/>
        <item x="414"/>
        <item x="72"/>
        <item x="291"/>
        <item x="139"/>
        <item x="401"/>
        <item x="100"/>
        <item x="257"/>
        <item x="209"/>
        <item x="92"/>
        <item x="457"/>
        <item x="181"/>
        <item x="299"/>
        <item x="191"/>
        <item x="455"/>
        <item x="441"/>
        <item x="165"/>
        <item x="46"/>
        <item x="101"/>
        <item x="463"/>
        <item x="131"/>
        <item x="227"/>
        <item x="190"/>
        <item x="36"/>
        <item x="267"/>
        <item x="122"/>
        <item x="294"/>
        <item x="229"/>
        <item x="43"/>
        <item x="206"/>
        <item x="477"/>
        <item x="119"/>
        <item x="134"/>
        <item x="244"/>
        <item x="211"/>
        <item x="312"/>
        <item x="40"/>
        <item x="326"/>
        <item x="5"/>
        <item x="301"/>
        <item x="199"/>
        <item x="330"/>
        <item x="203"/>
        <item x="102"/>
        <item x="310"/>
        <item x="50"/>
        <item x="304"/>
        <item x="70"/>
        <item x="279"/>
        <item x="222"/>
        <item x="169"/>
        <item x="392"/>
        <item x="136"/>
        <item x="173"/>
        <item x="239"/>
        <item x="339"/>
        <item x="380"/>
        <item x="58"/>
        <item x="413"/>
        <item x="144"/>
        <item x="235"/>
        <item x="140"/>
        <item x="141"/>
        <item x="219"/>
        <item x="186"/>
        <item x="350"/>
        <item x="142"/>
        <item x="444"/>
        <item x="342"/>
        <item x="67"/>
        <item x="327"/>
        <item x="375"/>
        <item x="77"/>
        <item x="123"/>
        <item x="426"/>
        <item x="41"/>
        <item x="428"/>
        <item x="446"/>
        <item x="355"/>
        <item x="418"/>
        <item x="170"/>
        <item x="345"/>
        <item x="420"/>
        <item x="55"/>
        <item x="447"/>
        <item x="442"/>
        <item x="145"/>
        <item x="59"/>
        <item x="409"/>
        <item x="196"/>
        <item x="385"/>
        <item x="459"/>
        <item x="331"/>
        <item x="137"/>
        <item x="17"/>
        <item x="404"/>
        <item x="484"/>
        <item x="469"/>
        <item x="88"/>
        <item x="356"/>
        <item x="65"/>
        <item x="195"/>
        <item x="431"/>
        <item x="89"/>
        <item x="415"/>
        <item x="430"/>
        <item x="226"/>
        <item x="372"/>
        <item x="148"/>
        <item x="317"/>
        <item x="82"/>
        <item x="187"/>
        <item x="394"/>
        <item x="284"/>
        <item x="451"/>
        <item x="166"/>
        <item x="28"/>
        <item x="464"/>
        <item x="62"/>
        <item x="340"/>
        <item x="197"/>
        <item x="276"/>
        <item x="115"/>
        <item x="39"/>
        <item x="251"/>
        <item x="378"/>
        <item x="61"/>
        <item x="73"/>
        <item x="24"/>
        <item x="200"/>
        <item x="423"/>
        <item x="47"/>
        <item x="323"/>
        <item x="419"/>
        <item x="398"/>
        <item x="269"/>
        <item x="308"/>
        <item x="21"/>
        <item x="471"/>
        <item x="15"/>
        <item x="370"/>
        <item x="274"/>
        <item x="182"/>
        <item x="271"/>
        <item x="332"/>
        <item x="436"/>
        <item x="45"/>
        <item x="364"/>
        <item x="228"/>
        <item x="83"/>
        <item x="466"/>
        <item x="116"/>
        <item x="434"/>
        <item x="146"/>
        <item x="435"/>
        <item x="96"/>
        <item x="439"/>
        <item x="78"/>
        <item x="60"/>
        <item x="255"/>
        <item x="52"/>
        <item x="313"/>
        <item x="129"/>
        <item x="95"/>
        <item x="367"/>
        <item x="461"/>
        <item x="2"/>
        <item x="396"/>
        <item x="259"/>
        <item x="48"/>
        <item x="388"/>
        <item x="241"/>
        <item x="240"/>
        <item x="212"/>
        <item x="440"/>
        <item x="84"/>
        <item x="236"/>
        <item x="87"/>
        <item x="9"/>
        <item x="458"/>
        <item x="399"/>
        <item x="57"/>
        <item x="8"/>
        <item x="318"/>
        <item x="19"/>
        <item x="328"/>
        <item x="256"/>
        <item x="153"/>
        <item x="237"/>
        <item x="162"/>
        <item x="351"/>
        <item x="265"/>
        <item x="180"/>
        <item x="12"/>
        <item x="395"/>
        <item x="37"/>
        <item x="143"/>
        <item x="427"/>
        <item x="282"/>
        <item x="390"/>
        <item x="387"/>
        <item x="230"/>
        <item x="298"/>
        <item x="292"/>
        <item x="302"/>
        <item x="231"/>
        <item x="213"/>
        <item x="273"/>
        <item x="416"/>
        <item x="154"/>
        <item x="224"/>
        <item x="223"/>
        <item x="113"/>
        <item x="368"/>
        <item x="280"/>
        <item x="352"/>
        <item x="348"/>
        <item x="183"/>
        <item x="63"/>
        <item x="49"/>
        <item x="155"/>
        <item x="260"/>
        <item x="472"/>
        <item x="262"/>
        <item x="470"/>
        <item x="232"/>
        <item x="287"/>
        <item x="233"/>
        <item x="437"/>
        <item x="341"/>
        <item x="288"/>
        <item x="75"/>
        <item x="107"/>
        <item x="407"/>
        <item x="402"/>
        <item x="3"/>
        <item x="456"/>
        <item x="201"/>
        <item x="108"/>
        <item x="438"/>
        <item x="94"/>
        <item x="109"/>
        <item x="343"/>
        <item x="314"/>
        <item x="16"/>
        <item x="305"/>
        <item x="325"/>
        <item x="167"/>
        <item x="397"/>
        <item x="283"/>
        <item x="192"/>
        <item x="238"/>
        <item x="315"/>
        <item x="64"/>
        <item t="default"/>
      </items>
    </pivotField>
    <pivotField dataField="1" showAll="0"/>
    <pivotField showAll="0"/>
    <pivotField showAll="0">
      <items count="5">
        <item x="1"/>
        <item x="0"/>
        <item x="3"/>
        <item x="2"/>
        <item t="default"/>
      </items>
    </pivotField>
    <pivotField showAll="0">
      <items count="5">
        <item x="1"/>
        <item x="0"/>
        <item x="3"/>
        <item x="2"/>
        <item t="default"/>
      </items>
    </pivotField>
    <pivotField showAll="0"/>
    <pivotField axis="axisRow" showAll="0" measureFilter="1" sortType="descending">
      <items count="33">
        <item x="19"/>
        <item x="17"/>
        <item x="29"/>
        <item x="23"/>
        <item x="28"/>
        <item x="10"/>
        <item x="15"/>
        <item x="3"/>
        <item x="12"/>
        <item x="6"/>
        <item x="30"/>
        <item x="5"/>
        <item x="14"/>
        <item x="26"/>
        <item x="8"/>
        <item x="16"/>
        <item x="11"/>
        <item x="7"/>
        <item x="25"/>
        <item x="18"/>
        <item x="27"/>
        <item x="4"/>
        <item x="9"/>
        <item x="2"/>
        <item x="0"/>
        <item x="21"/>
        <item x="20"/>
        <item x="1"/>
        <item x="22"/>
        <item x="31"/>
        <item x="24"/>
        <item x="13"/>
        <item t="default"/>
      </items>
      <autoSortScope>
        <pivotArea dataOnly="0" outline="0" fieldPosition="0">
          <references count="1">
            <reference field="4294967294" count="1" selected="0">
              <x v="0"/>
            </reference>
          </references>
        </pivotArea>
      </autoSortScope>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11"/>
  </rowFields>
  <rowItems count="6">
    <i>
      <x v="24"/>
    </i>
    <i>
      <x v="1"/>
    </i>
    <i>
      <x v="21"/>
    </i>
    <i>
      <x v="22"/>
    </i>
    <i>
      <x v="31"/>
    </i>
    <i t="grand">
      <x/>
    </i>
  </rowItems>
  <colItems count="1">
    <i/>
  </colItems>
  <dataFields count="1">
    <dataField name="Sum of unit_price (سعر الوحدة)" fld="6" baseField="0" baseItem="0"/>
  </dataFields>
  <chartFormats count="6">
    <chartFormat chart="21" format="12" series="1">
      <pivotArea type="data" outline="0" fieldPosition="0">
        <references count="1">
          <reference field="4294967294" count="1" selected="0">
            <x v="0"/>
          </reference>
        </references>
      </pivotArea>
    </chartFormat>
    <chartFormat chart="21" format="13">
      <pivotArea type="data" outline="0" fieldPosition="0">
        <references count="2">
          <reference field="4294967294" count="1" selected="0">
            <x v="0"/>
          </reference>
          <reference field="11" count="1" selected="0">
            <x v="24"/>
          </reference>
        </references>
      </pivotArea>
    </chartFormat>
    <chartFormat chart="21" format="14">
      <pivotArea type="data" outline="0" fieldPosition="0">
        <references count="2">
          <reference field="4294967294" count="1" selected="0">
            <x v="0"/>
          </reference>
          <reference field="11" count="1" selected="0">
            <x v="1"/>
          </reference>
        </references>
      </pivotArea>
    </chartFormat>
    <chartFormat chart="21" format="15">
      <pivotArea type="data" outline="0" fieldPosition="0">
        <references count="2">
          <reference field="4294967294" count="1" selected="0">
            <x v="0"/>
          </reference>
          <reference field="11" count="1" selected="0">
            <x v="21"/>
          </reference>
        </references>
      </pivotArea>
    </chartFormat>
    <chartFormat chart="21" format="16">
      <pivotArea type="data" outline="0" fieldPosition="0">
        <references count="2">
          <reference field="4294967294" count="1" selected="0">
            <x v="0"/>
          </reference>
          <reference field="11" count="1" selected="0">
            <x v="22"/>
          </reference>
        </references>
      </pivotArea>
    </chartFormat>
    <chartFormat chart="21" format="17">
      <pivotArea type="data" outline="0" fieldPosition="0">
        <references count="2">
          <reference field="4294967294" count="1" selected="0">
            <x v="0"/>
          </reference>
          <reference field="11" count="1" selected="0">
            <x v="31"/>
          </reference>
        </references>
      </pivotArea>
    </chartFormat>
  </chartFormats>
  <pivotTableStyleInfo name="PivotStyleLight16" showRowHeaders="1" showColHeaders="1" showRowStripes="0" showColStripes="0" showLastColumn="1"/>
  <filters count="1">
    <filter fld="1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5A7385-EAF5-4EBA-B457-36483F713EE3}" name="PivotTable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H4:J37" firstHeaderRow="0" firstDataRow="1" firstDataCol="1"/>
  <pivotFields count="15">
    <pivotField dataField="1" showAll="0">
      <items count="5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dataField="1" showAll="0"/>
    <pivotField showAll="0">
      <items count="262">
        <item x="7"/>
        <item x="8"/>
        <item x="9"/>
        <item x="10"/>
        <item x="11"/>
        <item x="12"/>
        <item x="13"/>
        <item x="14"/>
        <item x="15"/>
        <item x="16"/>
        <item x="17"/>
        <item x="18"/>
        <item x="19"/>
        <item x="20"/>
        <item x="21"/>
        <item x="22"/>
        <item x="201"/>
        <item x="202"/>
        <item x="203"/>
        <item x="204"/>
        <item x="205"/>
        <item x="206"/>
        <item x="207"/>
        <item x="208"/>
        <item x="209"/>
        <item x="210"/>
        <item x="211"/>
        <item x="212"/>
        <item x="213"/>
        <item x="214"/>
        <item x="215"/>
        <item x="216"/>
        <item x="226"/>
        <item x="227"/>
        <item x="228"/>
        <item x="229"/>
        <item x="230"/>
        <item x="231"/>
        <item x="232"/>
        <item x="233"/>
        <item x="234"/>
        <item x="235"/>
        <item x="236"/>
        <item x="237"/>
        <item x="238"/>
        <item x="249"/>
        <item x="250"/>
        <item x="251"/>
        <item x="252"/>
        <item x="253"/>
        <item x="254"/>
        <item x="255"/>
        <item x="256"/>
        <item x="257"/>
        <item x="258"/>
        <item x="259"/>
        <item x="260"/>
        <item x="32"/>
        <item x="33"/>
        <item x="34"/>
        <item x="35"/>
        <item x="36"/>
        <item x="37"/>
        <item x="38"/>
        <item x="39"/>
        <item x="40"/>
        <item x="41"/>
        <item x="50"/>
        <item x="51"/>
        <item x="52"/>
        <item x="53"/>
        <item x="54"/>
        <item x="55"/>
        <item x="56"/>
        <item x="57"/>
        <item x="58"/>
        <item x="59"/>
        <item x="60"/>
        <item x="69"/>
        <item x="70"/>
        <item x="71"/>
        <item x="72"/>
        <item x="73"/>
        <item x="74"/>
        <item x="75"/>
        <item x="76"/>
        <item x="77"/>
        <item x="78"/>
        <item x="87"/>
        <item x="88"/>
        <item x="89"/>
        <item x="90"/>
        <item x="91"/>
        <item x="92"/>
        <item x="93"/>
        <item x="94"/>
        <item x="95"/>
        <item x="96"/>
        <item x="97"/>
        <item x="98"/>
        <item x="99"/>
        <item x="108"/>
        <item x="109"/>
        <item x="110"/>
        <item x="111"/>
        <item x="112"/>
        <item x="113"/>
        <item x="114"/>
        <item x="115"/>
        <item x="116"/>
        <item x="117"/>
        <item x="118"/>
        <item x="119"/>
        <item x="120"/>
        <item x="121"/>
        <item x="122"/>
        <item x="130"/>
        <item x="131"/>
        <item x="132"/>
        <item x="133"/>
        <item x="134"/>
        <item x="135"/>
        <item x="136"/>
        <item x="137"/>
        <item x="138"/>
        <item x="139"/>
        <item x="140"/>
        <item x="141"/>
        <item x="142"/>
        <item x="143"/>
        <item x="144"/>
        <item x="145"/>
        <item x="146"/>
        <item x="157"/>
        <item x="158"/>
        <item x="159"/>
        <item x="160"/>
        <item x="161"/>
        <item x="162"/>
        <item x="163"/>
        <item x="164"/>
        <item x="165"/>
        <item x="166"/>
        <item x="167"/>
        <item x="168"/>
        <item x="169"/>
        <item x="170"/>
        <item x="181"/>
        <item x="182"/>
        <item x="183"/>
        <item x="184"/>
        <item x="185"/>
        <item x="186"/>
        <item x="187"/>
        <item x="188"/>
        <item x="189"/>
        <item x="190"/>
        <item x="191"/>
        <item x="192"/>
        <item x="0"/>
        <item x="23"/>
        <item x="42"/>
        <item x="61"/>
        <item x="79"/>
        <item x="100"/>
        <item x="171"/>
        <item x="193"/>
        <item x="217"/>
        <item x="239"/>
        <item x="24"/>
        <item x="62"/>
        <item x="101"/>
        <item x="123"/>
        <item x="147"/>
        <item x="194"/>
        <item x="218"/>
        <item x="240"/>
        <item x="1"/>
        <item x="25"/>
        <item x="43"/>
        <item x="102"/>
        <item x="124"/>
        <item x="148"/>
        <item x="172"/>
        <item x="195"/>
        <item x="219"/>
        <item x="241"/>
        <item x="44"/>
        <item x="63"/>
        <item x="125"/>
        <item x="173"/>
        <item x="196"/>
        <item x="242"/>
        <item x="26"/>
        <item x="45"/>
        <item x="80"/>
        <item x="103"/>
        <item x="126"/>
        <item x="149"/>
        <item x="174"/>
        <item x="2"/>
        <item x="27"/>
        <item x="46"/>
        <item x="64"/>
        <item x="81"/>
        <item x="104"/>
        <item x="150"/>
        <item x="175"/>
        <item x="220"/>
        <item x="28"/>
        <item x="47"/>
        <item x="127"/>
        <item x="151"/>
        <item x="176"/>
        <item x="197"/>
        <item x="221"/>
        <item x="243"/>
        <item x="3"/>
        <item x="29"/>
        <item x="65"/>
        <item x="82"/>
        <item x="152"/>
        <item x="177"/>
        <item x="198"/>
        <item x="222"/>
        <item x="244"/>
        <item x="30"/>
        <item x="48"/>
        <item x="66"/>
        <item x="83"/>
        <item x="105"/>
        <item x="153"/>
        <item x="199"/>
        <item x="223"/>
        <item x="245"/>
        <item x="4"/>
        <item x="84"/>
        <item x="106"/>
        <item x="128"/>
        <item x="154"/>
        <item x="178"/>
        <item x="200"/>
        <item x="224"/>
        <item x="246"/>
        <item x="5"/>
        <item x="49"/>
        <item x="67"/>
        <item x="85"/>
        <item x="129"/>
        <item x="155"/>
        <item x="179"/>
        <item x="247"/>
        <item x="6"/>
        <item x="31"/>
        <item x="68"/>
        <item x="86"/>
        <item x="107"/>
        <item x="156"/>
        <item x="180"/>
        <item x="225"/>
        <item x="248"/>
        <item t="default"/>
      </items>
    </pivotField>
    <pivotField numFmtId="19" showAll="0">
      <items count="486">
        <item x="98"/>
        <item x="114"/>
        <item x="382"/>
        <item x="450"/>
        <item x="157"/>
        <item x="381"/>
        <item x="174"/>
        <item x="306"/>
        <item x="479"/>
        <item x="275"/>
        <item x="85"/>
        <item x="429"/>
        <item x="103"/>
        <item x="111"/>
        <item x="433"/>
        <item x="347"/>
        <item x="252"/>
        <item x="468"/>
        <item x="448"/>
        <item x="104"/>
        <item x="258"/>
        <item x="18"/>
        <item x="217"/>
        <item x="0"/>
        <item x="110"/>
        <item x="277"/>
        <item x="10"/>
        <item x="264"/>
        <item x="188"/>
        <item x="175"/>
        <item x="126"/>
        <item x="42"/>
        <item x="425"/>
        <item x="266"/>
        <item x="405"/>
        <item x="480"/>
        <item x="337"/>
        <item x="29"/>
        <item x="300"/>
        <item x="384"/>
        <item x="247"/>
        <item x="176"/>
        <item x="32"/>
        <item x="432"/>
        <item x="365"/>
        <item x="411"/>
        <item x="13"/>
        <item x="68"/>
        <item x="481"/>
        <item x="320"/>
        <item x="133"/>
        <item x="124"/>
        <item x="290"/>
        <item x="334"/>
        <item x="285"/>
        <item x="160"/>
        <item x="270"/>
        <item x="91"/>
        <item x="20"/>
        <item x="360"/>
        <item x="198"/>
        <item x="97"/>
        <item x="354"/>
        <item x="329"/>
        <item x="76"/>
        <item x="184"/>
        <item x="33"/>
        <item x="376"/>
        <item x="321"/>
        <item x="311"/>
        <item x="93"/>
        <item x="263"/>
        <item x="449"/>
        <item x="309"/>
        <item x="353"/>
        <item x="452"/>
        <item x="482"/>
        <item x="22"/>
        <item x="202"/>
        <item x="127"/>
        <item x="53"/>
        <item x="357"/>
        <item x="1"/>
        <item x="149"/>
        <item x="161"/>
        <item x="156"/>
        <item x="253"/>
        <item x="389"/>
        <item x="130"/>
        <item x="204"/>
        <item x="319"/>
        <item x="147"/>
        <item x="56"/>
        <item x="112"/>
        <item x="234"/>
        <item x="358"/>
        <item x="473"/>
        <item x="386"/>
        <item x="99"/>
        <item x="369"/>
        <item x="150"/>
        <item x="151"/>
        <item x="324"/>
        <item x="225"/>
        <item x="393"/>
        <item x="391"/>
        <item x="30"/>
        <item x="158"/>
        <item x="261"/>
        <item x="25"/>
        <item x="338"/>
        <item x="359"/>
        <item x="31"/>
        <item x="11"/>
        <item x="27"/>
        <item x="377"/>
        <item x="214"/>
        <item x="171"/>
        <item x="272"/>
        <item x="467"/>
        <item x="361"/>
        <item x="443"/>
        <item x="406"/>
        <item x="71"/>
        <item x="207"/>
        <item x="54"/>
        <item x="454"/>
        <item x="249"/>
        <item x="117"/>
        <item x="86"/>
        <item x="193"/>
        <item x="362"/>
        <item x="44"/>
        <item x="38"/>
        <item x="185"/>
        <item x="373"/>
        <item x="172"/>
        <item x="74"/>
        <item x="289"/>
        <item x="335"/>
        <item x="79"/>
        <item x="278"/>
        <item x="245"/>
        <item x="374"/>
        <item x="51"/>
        <item x="445"/>
        <item x="205"/>
        <item x="460"/>
        <item x="125"/>
        <item x="168"/>
        <item x="344"/>
        <item x="333"/>
        <item x="336"/>
        <item x="7"/>
        <item x="177"/>
        <item x="210"/>
        <item x="194"/>
        <item x="316"/>
        <item x="69"/>
        <item x="295"/>
        <item x="474"/>
        <item x="424"/>
        <item x="90"/>
        <item x="410"/>
        <item x="121"/>
        <item x="26"/>
        <item x="453"/>
        <item x="475"/>
        <item x="379"/>
        <item x="118"/>
        <item x="248"/>
        <item x="152"/>
        <item x="66"/>
        <item x="218"/>
        <item x="215"/>
        <item x="349"/>
        <item x="307"/>
        <item x="220"/>
        <item x="179"/>
        <item x="421"/>
        <item x="4"/>
        <item x="366"/>
        <item x="163"/>
        <item x="383"/>
        <item x="403"/>
        <item x="138"/>
        <item x="483"/>
        <item x="6"/>
        <item x="208"/>
        <item x="478"/>
        <item x="159"/>
        <item x="417"/>
        <item x="476"/>
        <item x="221"/>
        <item x="135"/>
        <item x="363"/>
        <item x="296"/>
        <item x="189"/>
        <item x="128"/>
        <item x="250"/>
        <item x="164"/>
        <item x="120"/>
        <item x="80"/>
        <item x="465"/>
        <item x="178"/>
        <item x="23"/>
        <item x="242"/>
        <item x="371"/>
        <item x="286"/>
        <item x="322"/>
        <item x="35"/>
        <item x="14"/>
        <item x="216"/>
        <item x="34"/>
        <item x="346"/>
        <item x="412"/>
        <item x="281"/>
        <item x="268"/>
        <item x="132"/>
        <item x="246"/>
        <item x="254"/>
        <item x="303"/>
        <item x="105"/>
        <item x="422"/>
        <item x="106"/>
        <item x="243"/>
        <item x="81"/>
        <item x="400"/>
        <item x="297"/>
        <item x="293"/>
        <item x="408"/>
        <item x="462"/>
        <item x="414"/>
        <item x="72"/>
        <item x="291"/>
        <item x="139"/>
        <item x="401"/>
        <item x="100"/>
        <item x="257"/>
        <item x="209"/>
        <item x="92"/>
        <item x="457"/>
        <item x="181"/>
        <item x="299"/>
        <item x="191"/>
        <item x="455"/>
        <item x="441"/>
        <item x="165"/>
        <item x="46"/>
        <item x="101"/>
        <item x="463"/>
        <item x="131"/>
        <item x="227"/>
        <item x="190"/>
        <item x="36"/>
        <item x="267"/>
        <item x="122"/>
        <item x="294"/>
        <item x="229"/>
        <item x="43"/>
        <item x="206"/>
        <item x="477"/>
        <item x="119"/>
        <item x="134"/>
        <item x="244"/>
        <item x="211"/>
        <item x="312"/>
        <item x="40"/>
        <item x="326"/>
        <item x="5"/>
        <item x="301"/>
        <item x="199"/>
        <item x="330"/>
        <item x="203"/>
        <item x="102"/>
        <item x="310"/>
        <item x="50"/>
        <item x="304"/>
        <item x="70"/>
        <item x="279"/>
        <item x="222"/>
        <item x="169"/>
        <item x="392"/>
        <item x="136"/>
        <item x="173"/>
        <item x="239"/>
        <item x="339"/>
        <item x="380"/>
        <item x="58"/>
        <item x="413"/>
        <item x="144"/>
        <item x="235"/>
        <item x="140"/>
        <item x="141"/>
        <item x="219"/>
        <item x="186"/>
        <item x="350"/>
        <item x="142"/>
        <item x="444"/>
        <item x="342"/>
        <item x="67"/>
        <item x="327"/>
        <item x="375"/>
        <item x="77"/>
        <item x="123"/>
        <item x="426"/>
        <item x="41"/>
        <item x="428"/>
        <item x="446"/>
        <item x="355"/>
        <item x="418"/>
        <item x="170"/>
        <item x="345"/>
        <item x="420"/>
        <item x="55"/>
        <item x="447"/>
        <item x="442"/>
        <item x="145"/>
        <item x="59"/>
        <item x="409"/>
        <item x="196"/>
        <item x="385"/>
        <item x="459"/>
        <item x="331"/>
        <item x="137"/>
        <item x="17"/>
        <item x="404"/>
        <item x="484"/>
        <item x="469"/>
        <item x="88"/>
        <item x="356"/>
        <item x="65"/>
        <item x="195"/>
        <item x="431"/>
        <item x="89"/>
        <item x="415"/>
        <item x="430"/>
        <item x="226"/>
        <item x="372"/>
        <item x="148"/>
        <item x="317"/>
        <item x="82"/>
        <item x="187"/>
        <item x="394"/>
        <item x="284"/>
        <item x="451"/>
        <item x="166"/>
        <item x="28"/>
        <item x="464"/>
        <item x="62"/>
        <item x="340"/>
        <item x="197"/>
        <item x="276"/>
        <item x="115"/>
        <item x="39"/>
        <item x="251"/>
        <item x="378"/>
        <item x="61"/>
        <item x="73"/>
        <item x="24"/>
        <item x="200"/>
        <item x="423"/>
        <item x="47"/>
        <item x="323"/>
        <item x="419"/>
        <item x="398"/>
        <item x="269"/>
        <item x="308"/>
        <item x="21"/>
        <item x="471"/>
        <item x="15"/>
        <item x="370"/>
        <item x="274"/>
        <item x="182"/>
        <item x="271"/>
        <item x="332"/>
        <item x="436"/>
        <item x="45"/>
        <item x="364"/>
        <item x="228"/>
        <item x="83"/>
        <item x="466"/>
        <item x="116"/>
        <item x="434"/>
        <item x="146"/>
        <item x="435"/>
        <item x="96"/>
        <item x="439"/>
        <item x="78"/>
        <item x="60"/>
        <item x="255"/>
        <item x="52"/>
        <item x="313"/>
        <item x="129"/>
        <item x="95"/>
        <item x="367"/>
        <item x="461"/>
        <item x="2"/>
        <item x="396"/>
        <item x="259"/>
        <item x="48"/>
        <item x="388"/>
        <item x="241"/>
        <item x="240"/>
        <item x="212"/>
        <item x="440"/>
        <item x="84"/>
        <item x="236"/>
        <item x="87"/>
        <item x="9"/>
        <item x="458"/>
        <item x="399"/>
        <item x="57"/>
        <item x="8"/>
        <item x="318"/>
        <item x="19"/>
        <item x="328"/>
        <item x="256"/>
        <item x="153"/>
        <item x="237"/>
        <item x="162"/>
        <item x="351"/>
        <item x="265"/>
        <item x="180"/>
        <item x="12"/>
        <item x="395"/>
        <item x="37"/>
        <item x="143"/>
        <item x="427"/>
        <item x="282"/>
        <item x="390"/>
        <item x="387"/>
        <item x="230"/>
        <item x="298"/>
        <item x="292"/>
        <item x="302"/>
        <item x="231"/>
        <item x="213"/>
        <item x="273"/>
        <item x="416"/>
        <item x="154"/>
        <item x="224"/>
        <item x="223"/>
        <item x="113"/>
        <item x="368"/>
        <item x="280"/>
        <item x="352"/>
        <item x="348"/>
        <item x="183"/>
        <item x="63"/>
        <item x="49"/>
        <item x="155"/>
        <item x="260"/>
        <item x="472"/>
        <item x="262"/>
        <item x="470"/>
        <item x="232"/>
        <item x="287"/>
        <item x="233"/>
        <item x="437"/>
        <item x="341"/>
        <item x="288"/>
        <item x="75"/>
        <item x="107"/>
        <item x="407"/>
        <item x="402"/>
        <item x="3"/>
        <item x="456"/>
        <item x="201"/>
        <item x="108"/>
        <item x="438"/>
        <item x="94"/>
        <item x="109"/>
        <item x="343"/>
        <item x="314"/>
        <item x="16"/>
        <item x="305"/>
        <item x="325"/>
        <item x="167"/>
        <item x="397"/>
        <item x="283"/>
        <item x="192"/>
        <item x="238"/>
        <item x="315"/>
        <item x="64"/>
        <item t="default"/>
      </items>
    </pivotField>
    <pivotField showAll="0"/>
    <pivotField showAll="0"/>
    <pivotField showAll="0">
      <items count="5">
        <item x="1"/>
        <item x="0"/>
        <item x="3"/>
        <item x="2"/>
        <item t="default"/>
      </items>
    </pivotField>
    <pivotField showAll="0">
      <items count="5">
        <item x="1"/>
        <item x="0"/>
        <item x="3"/>
        <item x="2"/>
        <item t="default"/>
      </items>
    </pivotField>
    <pivotField showAll="0"/>
    <pivotField axis="axisRow" showAll="0">
      <items count="33">
        <item x="13"/>
        <item x="24"/>
        <item x="31"/>
        <item x="22"/>
        <item x="1"/>
        <item x="20"/>
        <item x="21"/>
        <item x="0"/>
        <item x="2"/>
        <item x="9"/>
        <item x="4"/>
        <item x="27"/>
        <item x="18"/>
        <item x="25"/>
        <item x="7"/>
        <item x="11"/>
        <item x="16"/>
        <item x="8"/>
        <item x="26"/>
        <item x="14"/>
        <item x="5"/>
        <item x="30"/>
        <item x="6"/>
        <item x="12"/>
        <item x="3"/>
        <item x="15"/>
        <item x="10"/>
        <item x="28"/>
        <item x="23"/>
        <item x="29"/>
        <item x="17"/>
        <item x="19"/>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11"/>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Fields count="1">
    <field x="-2"/>
  </colFields>
  <colItems count="2">
    <i>
      <x/>
    </i>
    <i i="1">
      <x v="1"/>
    </i>
  </colItems>
  <dataFields count="2">
    <dataField name="Sum of quantity (الكمية)" fld="3" baseField="0" baseItem="0"/>
    <dataField name="Count of order_id (رقم الطلب)"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AF52E25-8524-48A9-8939-F06490C4BDB2}" name="PivotTable4"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E3:F17" firstHeaderRow="1" firstDataRow="1" firstDataCol="1"/>
  <pivotFields count="15">
    <pivotField dataField="1" showAll="0"/>
    <pivotField showAll="0"/>
    <pivotField showAll="0"/>
    <pivotField showAll="0"/>
    <pivotField showAll="0">
      <items count="262">
        <item x="7"/>
        <item x="8"/>
        <item x="9"/>
        <item x="10"/>
        <item x="11"/>
        <item x="12"/>
        <item x="13"/>
        <item x="14"/>
        <item x="15"/>
        <item x="16"/>
        <item x="17"/>
        <item x="18"/>
        <item x="19"/>
        <item x="20"/>
        <item x="21"/>
        <item x="22"/>
        <item x="201"/>
        <item x="202"/>
        <item x="203"/>
        <item x="204"/>
        <item x="205"/>
        <item x="206"/>
        <item x="207"/>
        <item x="208"/>
        <item x="209"/>
        <item x="210"/>
        <item x="211"/>
        <item x="212"/>
        <item x="213"/>
        <item x="214"/>
        <item x="215"/>
        <item x="216"/>
        <item x="226"/>
        <item x="227"/>
        <item x="228"/>
        <item x="229"/>
        <item x="230"/>
        <item x="231"/>
        <item x="232"/>
        <item x="233"/>
        <item x="234"/>
        <item x="235"/>
        <item x="236"/>
        <item x="237"/>
        <item x="238"/>
        <item x="249"/>
        <item x="250"/>
        <item x="251"/>
        <item x="252"/>
        <item x="253"/>
        <item x="254"/>
        <item x="255"/>
        <item x="256"/>
        <item x="257"/>
        <item x="258"/>
        <item x="259"/>
        <item x="260"/>
        <item x="32"/>
        <item x="33"/>
        <item x="34"/>
        <item x="35"/>
        <item x="36"/>
        <item x="37"/>
        <item x="38"/>
        <item x="39"/>
        <item x="40"/>
        <item x="41"/>
        <item x="50"/>
        <item x="51"/>
        <item x="52"/>
        <item x="53"/>
        <item x="54"/>
        <item x="55"/>
        <item x="56"/>
        <item x="57"/>
        <item x="58"/>
        <item x="59"/>
        <item x="60"/>
        <item x="69"/>
        <item x="70"/>
        <item x="71"/>
        <item x="72"/>
        <item x="73"/>
        <item x="74"/>
        <item x="75"/>
        <item x="76"/>
        <item x="77"/>
        <item x="78"/>
        <item x="87"/>
        <item x="88"/>
        <item x="89"/>
        <item x="90"/>
        <item x="91"/>
        <item x="92"/>
        <item x="93"/>
        <item x="94"/>
        <item x="95"/>
        <item x="96"/>
        <item x="97"/>
        <item x="98"/>
        <item x="99"/>
        <item x="108"/>
        <item x="109"/>
        <item x="110"/>
        <item x="111"/>
        <item x="112"/>
        <item x="113"/>
        <item x="114"/>
        <item x="115"/>
        <item x="116"/>
        <item x="117"/>
        <item x="118"/>
        <item x="119"/>
        <item x="120"/>
        <item x="121"/>
        <item x="122"/>
        <item x="130"/>
        <item x="131"/>
        <item x="132"/>
        <item x="133"/>
        <item x="134"/>
        <item x="135"/>
        <item x="136"/>
        <item x="137"/>
        <item x="138"/>
        <item x="139"/>
        <item x="140"/>
        <item x="141"/>
        <item x="142"/>
        <item x="143"/>
        <item x="144"/>
        <item x="145"/>
        <item x="146"/>
        <item x="157"/>
        <item x="158"/>
        <item x="159"/>
        <item x="160"/>
        <item x="161"/>
        <item x="162"/>
        <item x="163"/>
        <item x="164"/>
        <item x="165"/>
        <item x="166"/>
        <item x="167"/>
        <item x="168"/>
        <item x="169"/>
        <item x="170"/>
        <item x="181"/>
        <item x="182"/>
        <item x="183"/>
        <item x="184"/>
        <item x="185"/>
        <item x="186"/>
        <item x="187"/>
        <item x="188"/>
        <item x="189"/>
        <item x="190"/>
        <item x="191"/>
        <item x="192"/>
        <item x="0"/>
        <item x="23"/>
        <item x="42"/>
        <item x="61"/>
        <item x="79"/>
        <item x="100"/>
        <item x="171"/>
        <item x="193"/>
        <item x="217"/>
        <item x="239"/>
        <item x="24"/>
        <item x="62"/>
        <item x="101"/>
        <item x="123"/>
        <item x="147"/>
        <item x="194"/>
        <item x="218"/>
        <item x="240"/>
        <item x="1"/>
        <item x="25"/>
        <item x="43"/>
        <item x="102"/>
        <item x="124"/>
        <item x="148"/>
        <item x="172"/>
        <item x="195"/>
        <item x="219"/>
        <item x="241"/>
        <item x="44"/>
        <item x="63"/>
        <item x="125"/>
        <item x="173"/>
        <item x="196"/>
        <item x="242"/>
        <item x="26"/>
        <item x="45"/>
        <item x="80"/>
        <item x="103"/>
        <item x="126"/>
        <item x="149"/>
        <item x="174"/>
        <item x="2"/>
        <item x="27"/>
        <item x="46"/>
        <item x="64"/>
        <item x="81"/>
        <item x="104"/>
        <item x="150"/>
        <item x="175"/>
        <item x="220"/>
        <item x="28"/>
        <item x="47"/>
        <item x="127"/>
        <item x="151"/>
        <item x="176"/>
        <item x="197"/>
        <item x="221"/>
        <item x="243"/>
        <item x="3"/>
        <item x="29"/>
        <item x="65"/>
        <item x="82"/>
        <item x="152"/>
        <item x="177"/>
        <item x="198"/>
        <item x="222"/>
        <item x="244"/>
        <item x="30"/>
        <item x="48"/>
        <item x="66"/>
        <item x="83"/>
        <item x="105"/>
        <item x="153"/>
        <item x="199"/>
        <item x="223"/>
        <item x="245"/>
        <item x="4"/>
        <item x="84"/>
        <item x="106"/>
        <item x="128"/>
        <item x="154"/>
        <item x="178"/>
        <item x="200"/>
        <item x="224"/>
        <item x="246"/>
        <item x="5"/>
        <item x="49"/>
        <item x="67"/>
        <item x="85"/>
        <item x="129"/>
        <item x="155"/>
        <item x="179"/>
        <item x="247"/>
        <item x="6"/>
        <item x="31"/>
        <item x="68"/>
        <item x="86"/>
        <item x="107"/>
        <item x="156"/>
        <item x="180"/>
        <item x="225"/>
        <item x="248"/>
        <item t="default"/>
      </items>
    </pivotField>
    <pivotField numFmtId="19" showAll="0">
      <items count="486">
        <item x="98"/>
        <item x="114"/>
        <item x="382"/>
        <item x="450"/>
        <item x="157"/>
        <item x="381"/>
        <item x="174"/>
        <item x="306"/>
        <item x="479"/>
        <item x="275"/>
        <item x="85"/>
        <item x="429"/>
        <item x="103"/>
        <item x="111"/>
        <item x="433"/>
        <item x="347"/>
        <item x="252"/>
        <item x="468"/>
        <item x="448"/>
        <item x="104"/>
        <item x="258"/>
        <item x="18"/>
        <item x="217"/>
        <item x="0"/>
        <item x="110"/>
        <item x="277"/>
        <item x="10"/>
        <item x="264"/>
        <item x="188"/>
        <item x="175"/>
        <item x="126"/>
        <item x="42"/>
        <item x="425"/>
        <item x="266"/>
        <item x="405"/>
        <item x="480"/>
        <item x="337"/>
        <item x="29"/>
        <item x="300"/>
        <item x="384"/>
        <item x="247"/>
        <item x="176"/>
        <item x="32"/>
        <item x="432"/>
        <item x="365"/>
        <item x="411"/>
        <item x="13"/>
        <item x="68"/>
        <item x="481"/>
        <item x="320"/>
        <item x="133"/>
        <item x="124"/>
        <item x="290"/>
        <item x="334"/>
        <item x="285"/>
        <item x="160"/>
        <item x="270"/>
        <item x="91"/>
        <item x="20"/>
        <item x="360"/>
        <item x="198"/>
        <item x="97"/>
        <item x="354"/>
        <item x="329"/>
        <item x="76"/>
        <item x="184"/>
        <item x="33"/>
        <item x="376"/>
        <item x="321"/>
        <item x="311"/>
        <item x="93"/>
        <item x="263"/>
        <item x="449"/>
        <item x="309"/>
        <item x="353"/>
        <item x="452"/>
        <item x="482"/>
        <item x="22"/>
        <item x="202"/>
        <item x="127"/>
        <item x="53"/>
        <item x="357"/>
        <item x="1"/>
        <item x="149"/>
        <item x="161"/>
        <item x="156"/>
        <item x="253"/>
        <item x="389"/>
        <item x="130"/>
        <item x="204"/>
        <item x="319"/>
        <item x="147"/>
        <item x="56"/>
        <item x="112"/>
        <item x="234"/>
        <item x="358"/>
        <item x="473"/>
        <item x="386"/>
        <item x="99"/>
        <item x="369"/>
        <item x="150"/>
        <item x="151"/>
        <item x="324"/>
        <item x="225"/>
        <item x="393"/>
        <item x="391"/>
        <item x="30"/>
        <item x="158"/>
        <item x="261"/>
        <item x="25"/>
        <item x="338"/>
        <item x="359"/>
        <item x="31"/>
        <item x="11"/>
        <item x="27"/>
        <item x="377"/>
        <item x="214"/>
        <item x="171"/>
        <item x="272"/>
        <item x="467"/>
        <item x="361"/>
        <item x="443"/>
        <item x="406"/>
        <item x="71"/>
        <item x="207"/>
        <item x="54"/>
        <item x="454"/>
        <item x="249"/>
        <item x="117"/>
        <item x="86"/>
        <item x="193"/>
        <item x="362"/>
        <item x="44"/>
        <item x="38"/>
        <item x="185"/>
        <item x="373"/>
        <item x="172"/>
        <item x="74"/>
        <item x="289"/>
        <item x="335"/>
        <item x="79"/>
        <item x="278"/>
        <item x="245"/>
        <item x="374"/>
        <item x="51"/>
        <item x="445"/>
        <item x="205"/>
        <item x="460"/>
        <item x="125"/>
        <item x="168"/>
        <item x="344"/>
        <item x="333"/>
        <item x="336"/>
        <item x="7"/>
        <item x="177"/>
        <item x="210"/>
        <item x="194"/>
        <item x="316"/>
        <item x="69"/>
        <item x="295"/>
        <item x="474"/>
        <item x="424"/>
        <item x="90"/>
        <item x="410"/>
        <item x="121"/>
        <item x="26"/>
        <item x="453"/>
        <item x="475"/>
        <item x="379"/>
        <item x="118"/>
        <item x="248"/>
        <item x="152"/>
        <item x="66"/>
        <item x="218"/>
        <item x="215"/>
        <item x="349"/>
        <item x="307"/>
        <item x="220"/>
        <item x="179"/>
        <item x="421"/>
        <item x="4"/>
        <item x="366"/>
        <item x="163"/>
        <item x="383"/>
        <item x="403"/>
        <item x="138"/>
        <item x="483"/>
        <item x="6"/>
        <item x="208"/>
        <item x="478"/>
        <item x="159"/>
        <item x="417"/>
        <item x="476"/>
        <item x="221"/>
        <item x="135"/>
        <item x="363"/>
        <item x="296"/>
        <item x="189"/>
        <item x="128"/>
        <item x="250"/>
        <item x="164"/>
        <item x="120"/>
        <item x="80"/>
        <item x="465"/>
        <item x="178"/>
        <item x="23"/>
        <item x="242"/>
        <item x="371"/>
        <item x="286"/>
        <item x="322"/>
        <item x="35"/>
        <item x="14"/>
        <item x="216"/>
        <item x="34"/>
        <item x="346"/>
        <item x="412"/>
        <item x="281"/>
        <item x="268"/>
        <item x="132"/>
        <item x="246"/>
        <item x="254"/>
        <item x="303"/>
        <item x="105"/>
        <item x="422"/>
        <item x="106"/>
        <item x="243"/>
        <item x="81"/>
        <item x="400"/>
        <item x="297"/>
        <item x="293"/>
        <item x="408"/>
        <item x="462"/>
        <item x="414"/>
        <item x="72"/>
        <item x="291"/>
        <item x="139"/>
        <item x="401"/>
        <item x="100"/>
        <item x="257"/>
        <item x="209"/>
        <item x="92"/>
        <item x="457"/>
        <item x="181"/>
        <item x="299"/>
        <item x="191"/>
        <item x="455"/>
        <item x="441"/>
        <item x="165"/>
        <item x="46"/>
        <item x="101"/>
        <item x="463"/>
        <item x="131"/>
        <item x="227"/>
        <item x="190"/>
        <item x="36"/>
        <item x="267"/>
        <item x="122"/>
        <item x="294"/>
        <item x="229"/>
        <item x="43"/>
        <item x="206"/>
        <item x="477"/>
        <item x="119"/>
        <item x="134"/>
        <item x="244"/>
        <item x="211"/>
        <item x="312"/>
        <item x="40"/>
        <item x="326"/>
        <item x="5"/>
        <item x="301"/>
        <item x="199"/>
        <item x="330"/>
        <item x="203"/>
        <item x="102"/>
        <item x="310"/>
        <item x="50"/>
        <item x="304"/>
        <item x="70"/>
        <item x="279"/>
        <item x="222"/>
        <item x="169"/>
        <item x="392"/>
        <item x="136"/>
        <item x="173"/>
        <item x="239"/>
        <item x="339"/>
        <item x="380"/>
        <item x="58"/>
        <item x="413"/>
        <item x="144"/>
        <item x="235"/>
        <item x="140"/>
        <item x="141"/>
        <item x="219"/>
        <item x="186"/>
        <item x="350"/>
        <item x="142"/>
        <item x="444"/>
        <item x="342"/>
        <item x="67"/>
        <item x="327"/>
        <item x="375"/>
        <item x="77"/>
        <item x="123"/>
        <item x="426"/>
        <item x="41"/>
        <item x="428"/>
        <item x="446"/>
        <item x="355"/>
        <item x="418"/>
        <item x="170"/>
        <item x="345"/>
        <item x="420"/>
        <item x="55"/>
        <item x="447"/>
        <item x="442"/>
        <item x="145"/>
        <item x="59"/>
        <item x="409"/>
        <item x="196"/>
        <item x="385"/>
        <item x="459"/>
        <item x="331"/>
        <item x="137"/>
        <item x="17"/>
        <item x="404"/>
        <item x="484"/>
        <item x="469"/>
        <item x="88"/>
        <item x="356"/>
        <item x="65"/>
        <item x="195"/>
        <item x="431"/>
        <item x="89"/>
        <item x="415"/>
        <item x="430"/>
        <item x="226"/>
        <item x="372"/>
        <item x="148"/>
        <item x="317"/>
        <item x="82"/>
        <item x="187"/>
        <item x="394"/>
        <item x="284"/>
        <item x="451"/>
        <item x="166"/>
        <item x="28"/>
        <item x="464"/>
        <item x="62"/>
        <item x="340"/>
        <item x="197"/>
        <item x="276"/>
        <item x="115"/>
        <item x="39"/>
        <item x="251"/>
        <item x="378"/>
        <item x="61"/>
        <item x="73"/>
        <item x="24"/>
        <item x="200"/>
        <item x="423"/>
        <item x="47"/>
        <item x="323"/>
        <item x="419"/>
        <item x="398"/>
        <item x="269"/>
        <item x="308"/>
        <item x="21"/>
        <item x="471"/>
        <item x="15"/>
        <item x="370"/>
        <item x="274"/>
        <item x="182"/>
        <item x="271"/>
        <item x="332"/>
        <item x="436"/>
        <item x="45"/>
        <item x="364"/>
        <item x="228"/>
        <item x="83"/>
        <item x="466"/>
        <item x="116"/>
        <item x="434"/>
        <item x="146"/>
        <item x="435"/>
        <item x="96"/>
        <item x="439"/>
        <item x="78"/>
        <item x="60"/>
        <item x="255"/>
        <item x="52"/>
        <item x="313"/>
        <item x="129"/>
        <item x="95"/>
        <item x="367"/>
        <item x="461"/>
        <item x="2"/>
        <item x="396"/>
        <item x="259"/>
        <item x="48"/>
        <item x="388"/>
        <item x="241"/>
        <item x="240"/>
        <item x="212"/>
        <item x="440"/>
        <item x="84"/>
        <item x="236"/>
        <item x="87"/>
        <item x="9"/>
        <item x="458"/>
        <item x="399"/>
        <item x="57"/>
        <item x="8"/>
        <item x="318"/>
        <item x="19"/>
        <item x="328"/>
        <item x="256"/>
        <item x="153"/>
        <item x="237"/>
        <item x="162"/>
        <item x="351"/>
        <item x="265"/>
        <item x="180"/>
        <item x="12"/>
        <item x="395"/>
        <item x="37"/>
        <item x="143"/>
        <item x="427"/>
        <item x="282"/>
        <item x="390"/>
        <item x="387"/>
        <item x="230"/>
        <item x="298"/>
        <item x="292"/>
        <item x="302"/>
        <item x="231"/>
        <item x="213"/>
        <item x="273"/>
        <item x="416"/>
        <item x="154"/>
        <item x="224"/>
        <item x="223"/>
        <item x="113"/>
        <item x="368"/>
        <item x="280"/>
        <item x="352"/>
        <item x="348"/>
        <item x="183"/>
        <item x="63"/>
        <item x="49"/>
        <item x="155"/>
        <item x="260"/>
        <item x="472"/>
        <item x="262"/>
        <item x="470"/>
        <item x="232"/>
        <item x="287"/>
        <item x="233"/>
        <item x="437"/>
        <item x="341"/>
        <item x="288"/>
        <item x="75"/>
        <item x="107"/>
        <item x="407"/>
        <item x="402"/>
        <item x="3"/>
        <item x="456"/>
        <item x="201"/>
        <item x="108"/>
        <item x="438"/>
        <item x="94"/>
        <item x="109"/>
        <item x="343"/>
        <item x="314"/>
        <item x="16"/>
        <item x="305"/>
        <item x="325"/>
        <item x="167"/>
        <item x="397"/>
        <item x="283"/>
        <item x="192"/>
        <item x="238"/>
        <item x="315"/>
        <item x="64"/>
        <item t="default"/>
      </items>
    </pivotField>
    <pivotField showAll="0"/>
    <pivotField showAll="0"/>
    <pivotField showAll="0">
      <items count="5">
        <item x="1"/>
        <item x="0"/>
        <item x="3"/>
        <item x="2"/>
        <item t="default"/>
      </items>
    </pivotField>
    <pivotField showAll="0">
      <items count="5">
        <item x="1"/>
        <item x="0"/>
        <item x="3"/>
        <item x="2"/>
        <item t="default"/>
      </items>
    </pivotField>
    <pivotField showAll="0"/>
    <pivotField showAll="0">
      <items count="33">
        <item x="13"/>
        <item x="24"/>
        <item x="31"/>
        <item x="22"/>
        <item x="1"/>
        <item x="20"/>
        <item x="21"/>
        <item x="0"/>
        <item x="2"/>
        <item x="9"/>
        <item x="4"/>
        <item x="27"/>
        <item x="18"/>
        <item x="25"/>
        <item x="7"/>
        <item x="11"/>
        <item x="16"/>
        <item x="8"/>
        <item x="26"/>
        <item x="14"/>
        <item x="5"/>
        <item x="30"/>
        <item x="6"/>
        <item x="12"/>
        <item x="3"/>
        <item x="15"/>
        <item x="10"/>
        <item x="28"/>
        <item x="23"/>
        <item x="29"/>
        <item x="17"/>
        <item x="19"/>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14"/>
  </rowFields>
  <rowItems count="14">
    <i>
      <x v="12"/>
    </i>
    <i>
      <x v="13"/>
    </i>
    <i>
      <x v="14"/>
    </i>
    <i>
      <x v="15"/>
    </i>
    <i>
      <x v="16"/>
    </i>
    <i>
      <x v="17"/>
    </i>
    <i>
      <x v="18"/>
    </i>
    <i>
      <x v="19"/>
    </i>
    <i>
      <x v="20"/>
    </i>
    <i>
      <x v="21"/>
    </i>
    <i>
      <x v="22"/>
    </i>
    <i>
      <x v="23"/>
    </i>
    <i>
      <x v="24"/>
    </i>
    <i t="grand">
      <x/>
    </i>
  </rowItems>
  <colItems count="1">
    <i/>
  </colItems>
  <dataFields count="1">
    <dataField name="Count of order_id (رقم الطلب)" fld="0" subtotal="count" baseField="0" baseItem="0"/>
  </dataFields>
  <chartFormats count="3">
    <chartFormat chart="16" format="6" series="1">
      <pivotArea type="data" outline="0" fieldPosition="0">
        <references count="1">
          <reference field="4294967294" count="1" selected="0">
            <x v="0"/>
          </reference>
        </references>
      </pivotArea>
    </chartFormat>
    <chartFormat chart="16" format="7">
      <pivotArea type="data" outline="0" fieldPosition="0">
        <references count="2">
          <reference field="4294967294" count="1" selected="0">
            <x v="0"/>
          </reference>
          <reference field="14" count="1" selected="0">
            <x v="23"/>
          </reference>
        </references>
      </pivotArea>
    </chartFormat>
    <chartFormat chart="16" format="8">
      <pivotArea type="data" outline="0" fieldPosition="0">
        <references count="2">
          <reference field="4294967294" count="1" selected="0">
            <x v="0"/>
          </reference>
          <reference field="14" count="1" selected="0">
            <x v="2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285D7FA-4AE0-4C9C-A107-95FE26946A55}"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12:C17" firstHeaderRow="1" firstDataRow="1" firstDataCol="1"/>
  <pivotFields count="15">
    <pivotField showAll="0"/>
    <pivotField showAll="0"/>
    <pivotField showAll="0"/>
    <pivotField showAll="0"/>
    <pivotField showAll="0">
      <items count="262">
        <item x="7"/>
        <item x="8"/>
        <item x="9"/>
        <item x="10"/>
        <item x="11"/>
        <item x="12"/>
        <item x="13"/>
        <item x="14"/>
        <item x="15"/>
        <item x="16"/>
        <item x="17"/>
        <item x="18"/>
        <item x="19"/>
        <item x="20"/>
        <item x="21"/>
        <item x="22"/>
        <item x="201"/>
        <item x="202"/>
        <item x="203"/>
        <item x="204"/>
        <item x="205"/>
        <item x="206"/>
        <item x="207"/>
        <item x="208"/>
        <item x="209"/>
        <item x="210"/>
        <item x="211"/>
        <item x="212"/>
        <item x="213"/>
        <item x="214"/>
        <item x="215"/>
        <item x="216"/>
        <item x="226"/>
        <item x="227"/>
        <item x="228"/>
        <item x="229"/>
        <item x="230"/>
        <item x="231"/>
        <item x="232"/>
        <item x="233"/>
        <item x="234"/>
        <item x="235"/>
        <item x="236"/>
        <item x="237"/>
        <item x="238"/>
        <item x="249"/>
        <item x="250"/>
        <item x="251"/>
        <item x="252"/>
        <item x="253"/>
        <item x="254"/>
        <item x="255"/>
        <item x="256"/>
        <item x="257"/>
        <item x="258"/>
        <item x="259"/>
        <item x="260"/>
        <item x="32"/>
        <item x="33"/>
        <item x="34"/>
        <item x="35"/>
        <item x="36"/>
        <item x="37"/>
        <item x="38"/>
        <item x="39"/>
        <item x="40"/>
        <item x="41"/>
        <item x="50"/>
        <item x="51"/>
        <item x="52"/>
        <item x="53"/>
        <item x="54"/>
        <item x="55"/>
        <item x="56"/>
        <item x="57"/>
        <item x="58"/>
        <item x="59"/>
        <item x="60"/>
        <item x="69"/>
        <item x="70"/>
        <item x="71"/>
        <item x="72"/>
        <item x="73"/>
        <item x="74"/>
        <item x="75"/>
        <item x="76"/>
        <item x="77"/>
        <item x="78"/>
        <item x="87"/>
        <item x="88"/>
        <item x="89"/>
        <item x="90"/>
        <item x="91"/>
        <item x="92"/>
        <item x="93"/>
        <item x="94"/>
        <item x="95"/>
        <item x="96"/>
        <item x="97"/>
        <item x="98"/>
        <item x="99"/>
        <item x="108"/>
        <item x="109"/>
        <item x="110"/>
        <item x="111"/>
        <item x="112"/>
        <item x="113"/>
        <item x="114"/>
        <item x="115"/>
        <item x="116"/>
        <item x="117"/>
        <item x="118"/>
        <item x="119"/>
        <item x="120"/>
        <item x="121"/>
        <item x="122"/>
        <item x="130"/>
        <item x="131"/>
        <item x="132"/>
        <item x="133"/>
        <item x="134"/>
        <item x="135"/>
        <item x="136"/>
        <item x="137"/>
        <item x="138"/>
        <item x="139"/>
        <item x="140"/>
        <item x="141"/>
        <item x="142"/>
        <item x="143"/>
        <item x="144"/>
        <item x="145"/>
        <item x="146"/>
        <item x="157"/>
        <item x="158"/>
        <item x="159"/>
        <item x="160"/>
        <item x="161"/>
        <item x="162"/>
        <item x="163"/>
        <item x="164"/>
        <item x="165"/>
        <item x="166"/>
        <item x="167"/>
        <item x="168"/>
        <item x="169"/>
        <item x="170"/>
        <item x="181"/>
        <item x="182"/>
        <item x="183"/>
        <item x="184"/>
        <item x="185"/>
        <item x="186"/>
        <item x="187"/>
        <item x="188"/>
        <item x="189"/>
        <item x="190"/>
        <item x="191"/>
        <item x="192"/>
        <item x="0"/>
        <item x="23"/>
        <item x="42"/>
        <item x="61"/>
        <item x="79"/>
        <item x="100"/>
        <item x="171"/>
        <item x="193"/>
        <item x="217"/>
        <item x="239"/>
        <item x="24"/>
        <item x="62"/>
        <item x="101"/>
        <item x="123"/>
        <item x="147"/>
        <item x="194"/>
        <item x="218"/>
        <item x="240"/>
        <item x="1"/>
        <item x="25"/>
        <item x="43"/>
        <item x="102"/>
        <item x="124"/>
        <item x="148"/>
        <item x="172"/>
        <item x="195"/>
        <item x="219"/>
        <item x="241"/>
        <item x="44"/>
        <item x="63"/>
        <item x="125"/>
        <item x="173"/>
        <item x="196"/>
        <item x="242"/>
        <item x="26"/>
        <item x="45"/>
        <item x="80"/>
        <item x="103"/>
        <item x="126"/>
        <item x="149"/>
        <item x="174"/>
        <item x="2"/>
        <item x="27"/>
        <item x="46"/>
        <item x="64"/>
        <item x="81"/>
        <item x="104"/>
        <item x="150"/>
        <item x="175"/>
        <item x="220"/>
        <item x="28"/>
        <item x="47"/>
        <item x="127"/>
        <item x="151"/>
        <item x="176"/>
        <item x="197"/>
        <item x="221"/>
        <item x="243"/>
        <item x="3"/>
        <item x="29"/>
        <item x="65"/>
        <item x="82"/>
        <item x="152"/>
        <item x="177"/>
        <item x="198"/>
        <item x="222"/>
        <item x="244"/>
        <item x="30"/>
        <item x="48"/>
        <item x="66"/>
        <item x="83"/>
        <item x="105"/>
        <item x="153"/>
        <item x="199"/>
        <item x="223"/>
        <item x="245"/>
        <item x="4"/>
        <item x="84"/>
        <item x="106"/>
        <item x="128"/>
        <item x="154"/>
        <item x="178"/>
        <item x="200"/>
        <item x="224"/>
        <item x="246"/>
        <item x="5"/>
        <item x="49"/>
        <item x="67"/>
        <item x="85"/>
        <item x="129"/>
        <item x="155"/>
        <item x="179"/>
        <item x="247"/>
        <item x="6"/>
        <item x="31"/>
        <item x="68"/>
        <item x="86"/>
        <item x="107"/>
        <item x="156"/>
        <item x="180"/>
        <item x="225"/>
        <item x="248"/>
        <item t="default"/>
      </items>
    </pivotField>
    <pivotField numFmtId="19" showAll="0">
      <items count="486">
        <item x="98"/>
        <item x="114"/>
        <item x="382"/>
        <item x="450"/>
        <item x="157"/>
        <item x="381"/>
        <item x="174"/>
        <item x="306"/>
        <item x="479"/>
        <item x="275"/>
        <item x="85"/>
        <item x="429"/>
        <item x="103"/>
        <item x="111"/>
        <item x="433"/>
        <item x="347"/>
        <item x="252"/>
        <item x="468"/>
        <item x="448"/>
        <item x="104"/>
        <item x="258"/>
        <item x="18"/>
        <item x="217"/>
        <item x="0"/>
        <item x="110"/>
        <item x="277"/>
        <item x="10"/>
        <item x="264"/>
        <item x="188"/>
        <item x="175"/>
        <item x="126"/>
        <item x="42"/>
        <item x="425"/>
        <item x="266"/>
        <item x="405"/>
        <item x="480"/>
        <item x="337"/>
        <item x="29"/>
        <item x="300"/>
        <item x="384"/>
        <item x="247"/>
        <item x="176"/>
        <item x="32"/>
        <item x="432"/>
        <item x="365"/>
        <item x="411"/>
        <item x="13"/>
        <item x="68"/>
        <item x="481"/>
        <item x="320"/>
        <item x="133"/>
        <item x="124"/>
        <item x="290"/>
        <item x="334"/>
        <item x="285"/>
        <item x="160"/>
        <item x="270"/>
        <item x="91"/>
        <item x="20"/>
        <item x="360"/>
        <item x="198"/>
        <item x="97"/>
        <item x="354"/>
        <item x="329"/>
        <item x="76"/>
        <item x="184"/>
        <item x="33"/>
        <item x="376"/>
        <item x="321"/>
        <item x="311"/>
        <item x="93"/>
        <item x="263"/>
        <item x="449"/>
        <item x="309"/>
        <item x="353"/>
        <item x="452"/>
        <item x="482"/>
        <item x="22"/>
        <item x="202"/>
        <item x="127"/>
        <item x="53"/>
        <item x="357"/>
        <item x="1"/>
        <item x="149"/>
        <item x="161"/>
        <item x="156"/>
        <item x="253"/>
        <item x="389"/>
        <item x="130"/>
        <item x="204"/>
        <item x="319"/>
        <item x="147"/>
        <item x="56"/>
        <item x="112"/>
        <item x="234"/>
        <item x="358"/>
        <item x="473"/>
        <item x="386"/>
        <item x="99"/>
        <item x="369"/>
        <item x="150"/>
        <item x="151"/>
        <item x="324"/>
        <item x="225"/>
        <item x="393"/>
        <item x="391"/>
        <item x="30"/>
        <item x="158"/>
        <item x="261"/>
        <item x="25"/>
        <item x="338"/>
        <item x="359"/>
        <item x="31"/>
        <item x="11"/>
        <item x="27"/>
        <item x="377"/>
        <item x="214"/>
        <item x="171"/>
        <item x="272"/>
        <item x="467"/>
        <item x="361"/>
        <item x="443"/>
        <item x="406"/>
        <item x="71"/>
        <item x="207"/>
        <item x="54"/>
        <item x="454"/>
        <item x="249"/>
        <item x="117"/>
        <item x="86"/>
        <item x="193"/>
        <item x="362"/>
        <item x="44"/>
        <item x="38"/>
        <item x="185"/>
        <item x="373"/>
        <item x="172"/>
        <item x="74"/>
        <item x="289"/>
        <item x="335"/>
        <item x="79"/>
        <item x="278"/>
        <item x="245"/>
        <item x="374"/>
        <item x="51"/>
        <item x="445"/>
        <item x="205"/>
        <item x="460"/>
        <item x="125"/>
        <item x="168"/>
        <item x="344"/>
        <item x="333"/>
        <item x="336"/>
        <item x="7"/>
        <item x="177"/>
        <item x="210"/>
        <item x="194"/>
        <item x="316"/>
        <item x="69"/>
        <item x="295"/>
        <item x="474"/>
        <item x="424"/>
        <item x="90"/>
        <item x="410"/>
        <item x="121"/>
        <item x="26"/>
        <item x="453"/>
        <item x="475"/>
        <item x="379"/>
        <item x="118"/>
        <item x="248"/>
        <item x="152"/>
        <item x="66"/>
        <item x="218"/>
        <item x="215"/>
        <item x="349"/>
        <item x="307"/>
        <item x="220"/>
        <item x="179"/>
        <item x="421"/>
        <item x="4"/>
        <item x="366"/>
        <item x="163"/>
        <item x="383"/>
        <item x="403"/>
        <item x="138"/>
        <item x="483"/>
        <item x="6"/>
        <item x="208"/>
        <item x="478"/>
        <item x="159"/>
        <item x="417"/>
        <item x="476"/>
        <item x="221"/>
        <item x="135"/>
        <item x="363"/>
        <item x="296"/>
        <item x="189"/>
        <item x="128"/>
        <item x="250"/>
        <item x="164"/>
        <item x="120"/>
        <item x="80"/>
        <item x="465"/>
        <item x="178"/>
        <item x="23"/>
        <item x="242"/>
        <item x="371"/>
        <item x="286"/>
        <item x="322"/>
        <item x="35"/>
        <item x="14"/>
        <item x="216"/>
        <item x="34"/>
        <item x="346"/>
        <item x="412"/>
        <item x="281"/>
        <item x="268"/>
        <item x="132"/>
        <item x="246"/>
        <item x="254"/>
        <item x="303"/>
        <item x="105"/>
        <item x="422"/>
        <item x="106"/>
        <item x="243"/>
        <item x="81"/>
        <item x="400"/>
        <item x="297"/>
        <item x="293"/>
        <item x="408"/>
        <item x="462"/>
        <item x="414"/>
        <item x="72"/>
        <item x="291"/>
        <item x="139"/>
        <item x="401"/>
        <item x="100"/>
        <item x="257"/>
        <item x="209"/>
        <item x="92"/>
        <item x="457"/>
        <item x="181"/>
        <item x="299"/>
        <item x="191"/>
        <item x="455"/>
        <item x="441"/>
        <item x="165"/>
        <item x="46"/>
        <item x="101"/>
        <item x="463"/>
        <item x="131"/>
        <item x="227"/>
        <item x="190"/>
        <item x="36"/>
        <item x="267"/>
        <item x="122"/>
        <item x="294"/>
        <item x="229"/>
        <item x="43"/>
        <item x="206"/>
        <item x="477"/>
        <item x="119"/>
        <item x="134"/>
        <item x="244"/>
        <item x="211"/>
        <item x="312"/>
        <item x="40"/>
        <item x="326"/>
        <item x="5"/>
        <item x="301"/>
        <item x="199"/>
        <item x="330"/>
        <item x="203"/>
        <item x="102"/>
        <item x="310"/>
        <item x="50"/>
        <item x="304"/>
        <item x="70"/>
        <item x="279"/>
        <item x="222"/>
        <item x="169"/>
        <item x="392"/>
        <item x="136"/>
        <item x="173"/>
        <item x="239"/>
        <item x="339"/>
        <item x="380"/>
        <item x="58"/>
        <item x="413"/>
        <item x="144"/>
        <item x="235"/>
        <item x="140"/>
        <item x="141"/>
        <item x="219"/>
        <item x="186"/>
        <item x="350"/>
        <item x="142"/>
        <item x="444"/>
        <item x="342"/>
        <item x="67"/>
        <item x="327"/>
        <item x="375"/>
        <item x="77"/>
        <item x="123"/>
        <item x="426"/>
        <item x="41"/>
        <item x="428"/>
        <item x="446"/>
        <item x="355"/>
        <item x="418"/>
        <item x="170"/>
        <item x="345"/>
        <item x="420"/>
        <item x="55"/>
        <item x="447"/>
        <item x="442"/>
        <item x="145"/>
        <item x="59"/>
        <item x="409"/>
        <item x="196"/>
        <item x="385"/>
        <item x="459"/>
        <item x="331"/>
        <item x="137"/>
        <item x="17"/>
        <item x="404"/>
        <item x="484"/>
        <item x="469"/>
        <item x="88"/>
        <item x="356"/>
        <item x="65"/>
        <item x="195"/>
        <item x="431"/>
        <item x="89"/>
        <item x="415"/>
        <item x="430"/>
        <item x="226"/>
        <item x="372"/>
        <item x="148"/>
        <item x="317"/>
        <item x="82"/>
        <item x="187"/>
        <item x="394"/>
        <item x="284"/>
        <item x="451"/>
        <item x="166"/>
        <item x="28"/>
        <item x="464"/>
        <item x="62"/>
        <item x="340"/>
        <item x="197"/>
        <item x="276"/>
        <item x="115"/>
        <item x="39"/>
        <item x="251"/>
        <item x="378"/>
        <item x="61"/>
        <item x="73"/>
        <item x="24"/>
        <item x="200"/>
        <item x="423"/>
        <item x="47"/>
        <item x="323"/>
        <item x="419"/>
        <item x="398"/>
        <item x="269"/>
        <item x="308"/>
        <item x="21"/>
        <item x="471"/>
        <item x="15"/>
        <item x="370"/>
        <item x="274"/>
        <item x="182"/>
        <item x="271"/>
        <item x="332"/>
        <item x="436"/>
        <item x="45"/>
        <item x="364"/>
        <item x="228"/>
        <item x="83"/>
        <item x="466"/>
        <item x="116"/>
        <item x="434"/>
        <item x="146"/>
        <item x="435"/>
        <item x="96"/>
        <item x="439"/>
        <item x="78"/>
        <item x="60"/>
        <item x="255"/>
        <item x="52"/>
        <item x="313"/>
        <item x="129"/>
        <item x="95"/>
        <item x="367"/>
        <item x="461"/>
        <item x="2"/>
        <item x="396"/>
        <item x="259"/>
        <item x="48"/>
        <item x="388"/>
        <item x="241"/>
        <item x="240"/>
        <item x="212"/>
        <item x="440"/>
        <item x="84"/>
        <item x="236"/>
        <item x="87"/>
        <item x="9"/>
        <item x="458"/>
        <item x="399"/>
        <item x="57"/>
        <item x="8"/>
        <item x="318"/>
        <item x="19"/>
        <item x="328"/>
        <item x="256"/>
        <item x="153"/>
        <item x="237"/>
        <item x="162"/>
        <item x="351"/>
        <item x="265"/>
        <item x="180"/>
        <item x="12"/>
        <item x="395"/>
        <item x="37"/>
        <item x="143"/>
        <item x="427"/>
        <item x="282"/>
        <item x="390"/>
        <item x="387"/>
        <item x="230"/>
        <item x="298"/>
        <item x="292"/>
        <item x="302"/>
        <item x="231"/>
        <item x="213"/>
        <item x="273"/>
        <item x="416"/>
        <item x="154"/>
        <item x="224"/>
        <item x="223"/>
        <item x="113"/>
        <item x="368"/>
        <item x="280"/>
        <item x="352"/>
        <item x="348"/>
        <item x="183"/>
        <item x="63"/>
        <item x="49"/>
        <item x="155"/>
        <item x="260"/>
        <item x="472"/>
        <item x="262"/>
        <item x="470"/>
        <item x="232"/>
        <item x="287"/>
        <item x="233"/>
        <item x="437"/>
        <item x="341"/>
        <item x="288"/>
        <item x="75"/>
        <item x="107"/>
        <item x="407"/>
        <item x="402"/>
        <item x="3"/>
        <item x="456"/>
        <item x="201"/>
        <item x="108"/>
        <item x="438"/>
        <item x="94"/>
        <item x="109"/>
        <item x="343"/>
        <item x="314"/>
        <item x="16"/>
        <item x="305"/>
        <item x="325"/>
        <item x="167"/>
        <item x="397"/>
        <item x="283"/>
        <item x="192"/>
        <item x="238"/>
        <item x="315"/>
        <item x="64"/>
        <item t="default"/>
      </items>
    </pivotField>
    <pivotField showAll="0"/>
    <pivotField dataField="1" showAll="0"/>
    <pivotField showAll="0">
      <items count="5">
        <item x="1"/>
        <item x="0"/>
        <item x="3"/>
        <item x="2"/>
        <item t="default"/>
      </items>
    </pivotField>
    <pivotField axis="axisRow" showAll="0">
      <items count="5">
        <item x="1"/>
        <item x="0"/>
        <item x="3"/>
        <item x="2"/>
        <item t="default"/>
      </items>
    </pivotField>
    <pivotField showAll="0"/>
    <pivotField showAll="0">
      <items count="33">
        <item x="13"/>
        <item x="24"/>
        <item x="31"/>
        <item x="22"/>
        <item x="1"/>
        <item x="20"/>
        <item x="21"/>
        <item x="0"/>
        <item x="2"/>
        <item x="9"/>
        <item x="4"/>
        <item x="27"/>
        <item x="18"/>
        <item x="25"/>
        <item x="7"/>
        <item x="11"/>
        <item x="16"/>
        <item x="8"/>
        <item x="26"/>
        <item x="14"/>
        <item x="5"/>
        <item x="30"/>
        <item x="6"/>
        <item x="12"/>
        <item x="3"/>
        <item x="15"/>
        <item x="10"/>
        <item x="28"/>
        <item x="23"/>
        <item x="29"/>
        <item x="17"/>
        <item x="19"/>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9"/>
  </rowFields>
  <rowItems count="5">
    <i>
      <x/>
    </i>
    <i>
      <x v="1"/>
    </i>
    <i>
      <x v="2"/>
    </i>
    <i>
      <x v="3"/>
    </i>
    <i t="grand">
      <x/>
    </i>
  </rowItems>
  <colItems count="1">
    <i/>
  </colItems>
  <dataFields count="1">
    <dataField name="Sum of Sales" fld="7" baseField="0" baseItem="0"/>
  </dataFields>
  <chartFormats count="7">
    <chartFormat chart="0" format="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0"/>
          </reference>
        </references>
      </pivotArea>
    </chartFormat>
    <chartFormat chart="11" format="10" series="1">
      <pivotArea type="data" outline="0" fieldPosition="0">
        <references count="1">
          <reference field="4294967294" count="1" selected="0">
            <x v="0"/>
          </reference>
        </references>
      </pivotArea>
    </chartFormat>
    <chartFormat chart="11" format="11">
      <pivotArea type="data" outline="0" fieldPosition="0">
        <references count="2">
          <reference field="4294967294" count="1" selected="0">
            <x v="0"/>
          </reference>
          <reference field="9" count="1" selected="0">
            <x v="0"/>
          </reference>
        </references>
      </pivotArea>
    </chartFormat>
    <chartFormat chart="11" format="12">
      <pivotArea type="data" outline="0" fieldPosition="0">
        <references count="2">
          <reference field="4294967294" count="1" selected="0">
            <x v="0"/>
          </reference>
          <reference field="9" count="1" selected="0">
            <x v="1"/>
          </reference>
        </references>
      </pivotArea>
    </chartFormat>
    <chartFormat chart="11" format="13">
      <pivotArea type="data" outline="0" fieldPosition="0">
        <references count="2">
          <reference field="4294967294" count="1" selected="0">
            <x v="0"/>
          </reference>
          <reference field="9" count="1" selected="0">
            <x v="2"/>
          </reference>
        </references>
      </pivotArea>
    </chartFormat>
    <chartFormat chart="11" format="14">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2D5B5FA-222E-4EC3-AB70-D2E780AB245F}"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3:C8" firstHeaderRow="1" firstDataRow="1" firstDataCol="1"/>
  <pivotFields count="15">
    <pivotField showAll="0"/>
    <pivotField showAll="0"/>
    <pivotField showAll="0"/>
    <pivotField showAll="0"/>
    <pivotField showAll="0"/>
    <pivotField numFmtId="19" showAll="0">
      <items count="486">
        <item x="98"/>
        <item x="114"/>
        <item x="382"/>
        <item x="450"/>
        <item x="157"/>
        <item x="381"/>
        <item x="174"/>
        <item x="306"/>
        <item x="479"/>
        <item x="275"/>
        <item x="85"/>
        <item x="429"/>
        <item x="103"/>
        <item x="111"/>
        <item x="433"/>
        <item x="347"/>
        <item x="252"/>
        <item x="468"/>
        <item x="448"/>
        <item x="104"/>
        <item x="258"/>
        <item x="18"/>
        <item x="217"/>
        <item x="0"/>
        <item x="110"/>
        <item x="277"/>
        <item x="10"/>
        <item x="264"/>
        <item x="188"/>
        <item x="175"/>
        <item x="126"/>
        <item x="42"/>
        <item x="425"/>
        <item x="266"/>
        <item x="405"/>
        <item x="480"/>
        <item x="337"/>
        <item x="29"/>
        <item x="300"/>
        <item x="384"/>
        <item x="247"/>
        <item x="176"/>
        <item x="32"/>
        <item x="432"/>
        <item x="365"/>
        <item x="411"/>
        <item x="13"/>
        <item x="68"/>
        <item x="481"/>
        <item x="320"/>
        <item x="133"/>
        <item x="124"/>
        <item x="290"/>
        <item x="334"/>
        <item x="285"/>
        <item x="160"/>
        <item x="270"/>
        <item x="91"/>
        <item x="20"/>
        <item x="360"/>
        <item x="198"/>
        <item x="97"/>
        <item x="354"/>
        <item x="329"/>
        <item x="76"/>
        <item x="184"/>
        <item x="33"/>
        <item x="376"/>
        <item x="321"/>
        <item x="311"/>
        <item x="93"/>
        <item x="263"/>
        <item x="449"/>
        <item x="309"/>
        <item x="353"/>
        <item x="452"/>
        <item x="482"/>
        <item x="22"/>
        <item x="202"/>
        <item x="127"/>
        <item x="53"/>
        <item x="357"/>
        <item x="1"/>
        <item x="149"/>
        <item x="161"/>
        <item x="156"/>
        <item x="253"/>
        <item x="389"/>
        <item x="130"/>
        <item x="204"/>
        <item x="319"/>
        <item x="147"/>
        <item x="56"/>
        <item x="112"/>
        <item x="234"/>
        <item x="358"/>
        <item x="473"/>
        <item x="386"/>
        <item x="99"/>
        <item x="369"/>
        <item x="150"/>
        <item x="151"/>
        <item x="324"/>
        <item x="225"/>
        <item x="393"/>
        <item x="391"/>
        <item x="30"/>
        <item x="158"/>
        <item x="261"/>
        <item x="25"/>
        <item x="338"/>
        <item x="359"/>
        <item x="31"/>
        <item x="11"/>
        <item x="27"/>
        <item x="377"/>
        <item x="214"/>
        <item x="171"/>
        <item x="272"/>
        <item x="467"/>
        <item x="361"/>
        <item x="443"/>
        <item x="406"/>
        <item x="71"/>
        <item x="207"/>
        <item x="54"/>
        <item x="454"/>
        <item x="249"/>
        <item x="117"/>
        <item x="86"/>
        <item x="193"/>
        <item x="362"/>
        <item x="44"/>
        <item x="38"/>
        <item x="185"/>
        <item x="373"/>
        <item x="172"/>
        <item x="74"/>
        <item x="289"/>
        <item x="335"/>
        <item x="79"/>
        <item x="278"/>
        <item x="245"/>
        <item x="374"/>
        <item x="51"/>
        <item x="445"/>
        <item x="205"/>
        <item x="460"/>
        <item x="125"/>
        <item x="168"/>
        <item x="344"/>
        <item x="333"/>
        <item x="336"/>
        <item x="7"/>
        <item x="177"/>
        <item x="210"/>
        <item x="194"/>
        <item x="316"/>
        <item x="69"/>
        <item x="295"/>
        <item x="474"/>
        <item x="424"/>
        <item x="90"/>
        <item x="410"/>
        <item x="121"/>
        <item x="26"/>
        <item x="453"/>
        <item x="475"/>
        <item x="379"/>
        <item x="118"/>
        <item x="248"/>
        <item x="152"/>
        <item x="66"/>
        <item x="218"/>
        <item x="215"/>
        <item x="349"/>
        <item x="307"/>
        <item x="220"/>
        <item x="179"/>
        <item x="421"/>
        <item x="4"/>
        <item x="366"/>
        <item x="163"/>
        <item x="383"/>
        <item x="403"/>
        <item x="138"/>
        <item x="483"/>
        <item x="6"/>
        <item x="208"/>
        <item x="478"/>
        <item x="159"/>
        <item x="417"/>
        <item x="476"/>
        <item x="221"/>
        <item x="135"/>
        <item x="363"/>
        <item x="296"/>
        <item x="189"/>
        <item x="128"/>
        <item x="250"/>
        <item x="164"/>
        <item x="120"/>
        <item x="80"/>
        <item x="465"/>
        <item x="178"/>
        <item x="23"/>
        <item x="242"/>
        <item x="371"/>
        <item x="286"/>
        <item x="322"/>
        <item x="35"/>
        <item x="14"/>
        <item x="216"/>
        <item x="34"/>
        <item x="346"/>
        <item x="412"/>
        <item x="281"/>
        <item x="268"/>
        <item x="132"/>
        <item x="246"/>
        <item x="254"/>
        <item x="303"/>
        <item x="105"/>
        <item x="422"/>
        <item x="106"/>
        <item x="243"/>
        <item x="81"/>
        <item x="400"/>
        <item x="297"/>
        <item x="293"/>
        <item x="408"/>
        <item x="462"/>
        <item x="414"/>
        <item x="72"/>
        <item x="291"/>
        <item x="139"/>
        <item x="401"/>
        <item x="100"/>
        <item x="257"/>
        <item x="209"/>
        <item x="92"/>
        <item x="457"/>
        <item x="181"/>
        <item x="299"/>
        <item x="191"/>
        <item x="455"/>
        <item x="441"/>
        <item x="165"/>
        <item x="46"/>
        <item x="101"/>
        <item x="463"/>
        <item x="131"/>
        <item x="227"/>
        <item x="190"/>
        <item x="36"/>
        <item x="267"/>
        <item x="122"/>
        <item x="294"/>
        <item x="229"/>
        <item x="43"/>
        <item x="206"/>
        <item x="477"/>
        <item x="119"/>
        <item x="134"/>
        <item x="244"/>
        <item x="211"/>
        <item x="312"/>
        <item x="40"/>
        <item x="326"/>
        <item x="5"/>
        <item x="301"/>
        <item x="199"/>
        <item x="330"/>
        <item x="203"/>
        <item x="102"/>
        <item x="310"/>
        <item x="50"/>
        <item x="304"/>
        <item x="70"/>
        <item x="279"/>
        <item x="222"/>
        <item x="169"/>
        <item x="392"/>
        <item x="136"/>
        <item x="173"/>
        <item x="239"/>
        <item x="339"/>
        <item x="380"/>
        <item x="58"/>
        <item x="413"/>
        <item x="144"/>
        <item x="235"/>
        <item x="140"/>
        <item x="141"/>
        <item x="219"/>
        <item x="186"/>
        <item x="350"/>
        <item x="142"/>
        <item x="444"/>
        <item x="342"/>
        <item x="67"/>
        <item x="327"/>
        <item x="375"/>
        <item x="77"/>
        <item x="123"/>
        <item x="426"/>
        <item x="41"/>
        <item x="428"/>
        <item x="446"/>
        <item x="355"/>
        <item x="418"/>
        <item x="170"/>
        <item x="345"/>
        <item x="420"/>
        <item x="55"/>
        <item x="447"/>
        <item x="442"/>
        <item x="145"/>
        <item x="59"/>
        <item x="409"/>
        <item x="196"/>
        <item x="385"/>
        <item x="459"/>
        <item x="331"/>
        <item x="137"/>
        <item x="17"/>
        <item x="404"/>
        <item x="484"/>
        <item x="469"/>
        <item x="88"/>
        <item x="356"/>
        <item x="65"/>
        <item x="195"/>
        <item x="431"/>
        <item x="89"/>
        <item x="415"/>
        <item x="430"/>
        <item x="226"/>
        <item x="372"/>
        <item x="148"/>
        <item x="317"/>
        <item x="82"/>
        <item x="187"/>
        <item x="394"/>
        <item x="284"/>
        <item x="451"/>
        <item x="166"/>
        <item x="28"/>
        <item x="464"/>
        <item x="62"/>
        <item x="340"/>
        <item x="197"/>
        <item x="276"/>
        <item x="115"/>
        <item x="39"/>
        <item x="251"/>
        <item x="378"/>
        <item x="61"/>
        <item x="73"/>
        <item x="24"/>
        <item x="200"/>
        <item x="423"/>
        <item x="47"/>
        <item x="323"/>
        <item x="419"/>
        <item x="398"/>
        <item x="269"/>
        <item x="308"/>
        <item x="21"/>
        <item x="471"/>
        <item x="15"/>
        <item x="370"/>
        <item x="274"/>
        <item x="182"/>
        <item x="271"/>
        <item x="332"/>
        <item x="436"/>
        <item x="45"/>
        <item x="364"/>
        <item x="228"/>
        <item x="83"/>
        <item x="466"/>
        <item x="116"/>
        <item x="434"/>
        <item x="146"/>
        <item x="435"/>
        <item x="96"/>
        <item x="439"/>
        <item x="78"/>
        <item x="60"/>
        <item x="255"/>
        <item x="52"/>
        <item x="313"/>
        <item x="129"/>
        <item x="95"/>
        <item x="367"/>
        <item x="461"/>
        <item x="2"/>
        <item x="396"/>
        <item x="259"/>
        <item x="48"/>
        <item x="388"/>
        <item x="241"/>
        <item x="240"/>
        <item x="212"/>
        <item x="440"/>
        <item x="84"/>
        <item x="236"/>
        <item x="87"/>
        <item x="9"/>
        <item x="458"/>
        <item x="399"/>
        <item x="57"/>
        <item x="8"/>
        <item x="318"/>
        <item x="19"/>
        <item x="328"/>
        <item x="256"/>
        <item x="153"/>
        <item x="237"/>
        <item x="162"/>
        <item x="351"/>
        <item x="265"/>
        <item x="180"/>
        <item x="12"/>
        <item x="395"/>
        <item x="37"/>
        <item x="143"/>
        <item x="427"/>
        <item x="282"/>
        <item x="390"/>
        <item x="387"/>
        <item x="230"/>
        <item x="298"/>
        <item x="292"/>
        <item x="302"/>
        <item x="231"/>
        <item x="213"/>
        <item x="273"/>
        <item x="416"/>
        <item x="154"/>
        <item x="224"/>
        <item x="223"/>
        <item x="113"/>
        <item x="368"/>
        <item x="280"/>
        <item x="352"/>
        <item x="348"/>
        <item x="183"/>
        <item x="63"/>
        <item x="49"/>
        <item x="155"/>
        <item x="260"/>
        <item x="472"/>
        <item x="262"/>
        <item x="470"/>
        <item x="232"/>
        <item x="287"/>
        <item x="233"/>
        <item x="437"/>
        <item x="341"/>
        <item x="288"/>
        <item x="75"/>
        <item x="107"/>
        <item x="407"/>
        <item x="402"/>
        <item x="3"/>
        <item x="456"/>
        <item x="201"/>
        <item x="108"/>
        <item x="438"/>
        <item x="94"/>
        <item x="109"/>
        <item x="343"/>
        <item x="314"/>
        <item x="16"/>
        <item x="305"/>
        <item x="325"/>
        <item x="167"/>
        <item x="397"/>
        <item x="283"/>
        <item x="192"/>
        <item x="238"/>
        <item x="315"/>
        <item x="64"/>
        <item t="default"/>
      </items>
    </pivotField>
    <pivotField showAll="0"/>
    <pivotField dataField="1" showAll="0"/>
    <pivotField axis="axisRow" showAll="0">
      <items count="5">
        <item x="1"/>
        <item x="0"/>
        <item x="3"/>
        <item x="2"/>
        <item t="default"/>
      </items>
    </pivotField>
    <pivotField showAll="0">
      <items count="5">
        <item x="1"/>
        <item x="0"/>
        <item x="3"/>
        <item x="2"/>
        <item t="default"/>
      </items>
    </pivotField>
    <pivotField showAll="0"/>
    <pivotField showAll="0">
      <items count="33">
        <item x="13"/>
        <item x="24"/>
        <item x="31"/>
        <item x="22"/>
        <item x="1"/>
        <item x="20"/>
        <item x="21"/>
        <item x="0"/>
        <item x="2"/>
        <item x="9"/>
        <item x="4"/>
        <item x="27"/>
        <item x="18"/>
        <item x="25"/>
        <item x="7"/>
        <item x="11"/>
        <item x="16"/>
        <item x="8"/>
        <item x="26"/>
        <item x="14"/>
        <item x="5"/>
        <item x="30"/>
        <item x="6"/>
        <item x="12"/>
        <item x="3"/>
        <item x="15"/>
        <item x="10"/>
        <item x="28"/>
        <item x="23"/>
        <item x="29"/>
        <item x="17"/>
        <item x="19"/>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8"/>
  </rowFields>
  <rowItems count="5">
    <i>
      <x/>
    </i>
    <i>
      <x v="1"/>
    </i>
    <i>
      <x v="2"/>
    </i>
    <i>
      <x v="3"/>
    </i>
    <i t="grand">
      <x/>
    </i>
  </rowItems>
  <colItems count="1">
    <i/>
  </colItems>
  <dataFields count="1">
    <dataField name="Sum of Sales" fld="7" baseField="0" baseItem="0"/>
  </dataFields>
  <chartFormats count="5">
    <chartFormat chart="11" format="10" series="1">
      <pivotArea type="data" outline="0" fieldPosition="0">
        <references count="1">
          <reference field="4294967294" count="1" selected="0">
            <x v="0"/>
          </reference>
        </references>
      </pivotArea>
    </chartFormat>
    <chartFormat chart="11" format="11">
      <pivotArea type="data" outline="0" fieldPosition="0">
        <references count="2">
          <reference field="4294967294" count="1" selected="0">
            <x v="0"/>
          </reference>
          <reference field="8" count="1" selected="0">
            <x v="0"/>
          </reference>
        </references>
      </pivotArea>
    </chartFormat>
    <chartFormat chart="11" format="12">
      <pivotArea type="data" outline="0" fieldPosition="0">
        <references count="2">
          <reference field="4294967294" count="1" selected="0">
            <x v="0"/>
          </reference>
          <reference field="8" count="1" selected="0">
            <x v="1"/>
          </reference>
        </references>
      </pivotArea>
    </chartFormat>
    <chartFormat chart="11" format="13">
      <pivotArea type="data" outline="0" fieldPosition="0">
        <references count="2">
          <reference field="4294967294" count="1" selected="0">
            <x v="0"/>
          </reference>
          <reference field="8" count="1" selected="0">
            <x v="2"/>
          </reference>
        </references>
      </pivotArea>
    </chartFormat>
    <chartFormat chart="11" format="14">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izza_size__حجم_البيتزا" xr10:uid="{D36C10B1-2128-4183-B021-281185E32A1E}" sourceName="pizza_size (حجم البيتزا)">
  <pivotTables>
    <pivotTable tabId="2" name="PivotTable1"/>
    <pivotTable tabId="2" name="PivotTable3"/>
    <pivotTable tabId="2" name="PivotTable4"/>
    <pivotTable tabId="2" name="PivotTable5"/>
    <pivotTable tabId="2" name="PivotTable6"/>
    <pivotTable tabId="2" name="PivotTable7"/>
  </pivotTables>
  <data>
    <tabular pivotCacheId="856727510">
      <items count="4">
        <i x="1" s="1"/>
        <i x="0"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izza_category__فئة_البيتزا" xr10:uid="{0F1F61B1-97E0-4FD8-BD1D-7F1EF1AA2EE6}" sourceName="pizza_category (فئة البيتزا)">
  <pivotTables>
    <pivotTable tabId="2" name="PivotTable3"/>
    <pivotTable tabId="2" name="PivotTable1"/>
    <pivotTable tabId="2" name="PivotTable4"/>
    <pivotTable tabId="2" name="PivotTable5"/>
    <pivotTable tabId="2" name="PivotTable6"/>
    <pivotTable tabId="2" name="PivotTable7"/>
  </pivotTables>
  <data>
    <tabular pivotCacheId="856727510">
      <items count="4">
        <i x="1" s="1"/>
        <i x="0" s="1"/>
        <i x="3"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تاريخ_الطلب" xr10:uid="{65AFA35D-13A0-4F21-9108-06DED0857845}" sourceName="order_date (تاريخ الطلب)">
  <pivotTables>
    <pivotTable tabId="2" name="PivotTable3"/>
    <pivotTable tabId="2" name="PivotTable4"/>
    <pivotTable tabId="2" name="PivotTable5"/>
    <pivotTable tabId="2" name="PivotTable6"/>
    <pivotTable tabId="2" name="PivotTable7"/>
  </pivotTables>
  <data>
    <tabular pivotCacheId="856727510">
      <items count="261">
        <i x="7" s="1"/>
        <i x="8" s="1"/>
        <i x="9" s="1"/>
        <i x="10" s="1"/>
        <i x="11" s="1"/>
        <i x="12" s="1"/>
        <i x="13" s="1"/>
        <i x="14" s="1"/>
        <i x="15" s="1"/>
        <i x="16" s="1"/>
        <i x="17" s="1"/>
        <i x="18" s="1"/>
        <i x="19" s="1"/>
        <i x="20" s="1"/>
        <i x="21" s="1"/>
        <i x="22" s="1"/>
        <i x="201" s="1"/>
        <i x="202" s="1"/>
        <i x="203" s="1"/>
        <i x="204" s="1"/>
        <i x="205" s="1"/>
        <i x="206" s="1"/>
        <i x="207" s="1"/>
        <i x="208" s="1"/>
        <i x="209" s="1"/>
        <i x="210" s="1"/>
        <i x="211" s="1"/>
        <i x="212" s="1"/>
        <i x="213" s="1"/>
        <i x="214" s="1"/>
        <i x="215" s="1"/>
        <i x="216" s="1"/>
        <i x="226" s="1"/>
        <i x="227" s="1"/>
        <i x="228" s="1"/>
        <i x="229" s="1"/>
        <i x="230" s="1"/>
        <i x="231" s="1"/>
        <i x="232" s="1"/>
        <i x="233" s="1"/>
        <i x="234" s="1"/>
        <i x="235" s="1"/>
        <i x="236" s="1"/>
        <i x="237" s="1"/>
        <i x="238" s="1"/>
        <i x="249" s="1"/>
        <i x="250" s="1"/>
        <i x="251" s="1"/>
        <i x="252" s="1"/>
        <i x="253" s="1"/>
        <i x="254" s="1"/>
        <i x="255" s="1"/>
        <i x="256" s="1"/>
        <i x="257" s="1"/>
        <i x="258" s="1"/>
        <i x="259" s="1"/>
        <i x="260" s="1"/>
        <i x="32" s="1"/>
        <i x="33" s="1"/>
        <i x="34" s="1"/>
        <i x="35" s="1"/>
        <i x="36" s="1"/>
        <i x="37" s="1"/>
        <i x="38" s="1"/>
        <i x="39" s="1"/>
        <i x="40" s="1"/>
        <i x="41" s="1"/>
        <i x="50" s="1"/>
        <i x="51" s="1"/>
        <i x="52" s="1"/>
        <i x="53" s="1"/>
        <i x="54" s="1"/>
        <i x="55" s="1"/>
        <i x="56" s="1"/>
        <i x="57" s="1"/>
        <i x="58" s="1"/>
        <i x="59" s="1"/>
        <i x="60" s="1"/>
        <i x="69" s="1"/>
        <i x="70" s="1"/>
        <i x="71" s="1"/>
        <i x="72" s="1"/>
        <i x="73" s="1"/>
        <i x="74" s="1"/>
        <i x="75" s="1"/>
        <i x="76" s="1"/>
        <i x="77" s="1"/>
        <i x="78" s="1"/>
        <i x="87" s="1"/>
        <i x="88" s="1"/>
        <i x="89" s="1"/>
        <i x="90" s="1"/>
        <i x="91" s="1"/>
        <i x="92" s="1"/>
        <i x="93" s="1"/>
        <i x="94" s="1"/>
        <i x="95" s="1"/>
        <i x="96" s="1"/>
        <i x="97" s="1"/>
        <i x="98" s="1"/>
        <i x="99" s="1"/>
        <i x="108" s="1"/>
        <i x="109" s="1"/>
        <i x="110" s="1"/>
        <i x="111" s="1"/>
        <i x="112" s="1"/>
        <i x="113" s="1"/>
        <i x="114" s="1"/>
        <i x="115" s="1"/>
        <i x="116" s="1"/>
        <i x="117" s="1"/>
        <i x="118" s="1"/>
        <i x="119" s="1"/>
        <i x="120" s="1"/>
        <i x="121" s="1"/>
        <i x="122" s="1"/>
        <i x="130" s="1"/>
        <i x="131" s="1"/>
        <i x="132" s="1"/>
        <i x="133" s="1"/>
        <i x="134" s="1"/>
        <i x="135" s="1"/>
        <i x="136" s="1"/>
        <i x="137" s="1"/>
        <i x="138" s="1"/>
        <i x="139" s="1"/>
        <i x="140" s="1"/>
        <i x="141" s="1"/>
        <i x="142" s="1"/>
        <i x="143" s="1"/>
        <i x="144" s="1"/>
        <i x="145" s="1"/>
        <i x="146" s="1"/>
        <i x="157" s="1"/>
        <i x="158" s="1"/>
        <i x="159" s="1"/>
        <i x="160" s="1"/>
        <i x="161" s="1"/>
        <i x="162" s="1"/>
        <i x="163" s="1"/>
        <i x="164" s="1"/>
        <i x="165" s="1"/>
        <i x="166" s="1"/>
        <i x="167" s="1"/>
        <i x="168" s="1"/>
        <i x="169" s="1"/>
        <i x="170" s="1"/>
        <i x="181" s="1"/>
        <i x="182" s="1"/>
        <i x="183" s="1"/>
        <i x="184" s="1"/>
        <i x="185" s="1"/>
        <i x="186" s="1"/>
        <i x="187" s="1"/>
        <i x="188" s="1"/>
        <i x="189" s="1"/>
        <i x="190" s="1"/>
        <i x="191" s="1"/>
        <i x="192" s="1"/>
        <i x="0" s="1"/>
        <i x="23" s="1"/>
        <i x="42" s="1"/>
        <i x="61" s="1"/>
        <i x="79" s="1"/>
        <i x="100" s="1"/>
        <i x="171" s="1"/>
        <i x="193" s="1"/>
        <i x="217" s="1"/>
        <i x="239" s="1"/>
        <i x="24" s="1"/>
        <i x="62" s="1"/>
        <i x="101" s="1"/>
        <i x="123" s="1"/>
        <i x="147" s="1"/>
        <i x="194" s="1"/>
        <i x="218" s="1"/>
        <i x="240" s="1"/>
        <i x="1" s="1"/>
        <i x="25" s="1"/>
        <i x="43" s="1"/>
        <i x="102" s="1"/>
        <i x="124" s="1"/>
        <i x="148" s="1"/>
        <i x="172" s="1"/>
        <i x="195" s="1"/>
        <i x="219" s="1"/>
        <i x="241" s="1"/>
        <i x="44" s="1"/>
        <i x="63" s="1"/>
        <i x="125" s="1"/>
        <i x="173" s="1"/>
        <i x="196" s="1"/>
        <i x="242" s="1"/>
        <i x="26" s="1"/>
        <i x="45" s="1"/>
        <i x="80" s="1"/>
        <i x="103" s="1"/>
        <i x="126" s="1"/>
        <i x="149" s="1"/>
        <i x="174" s="1"/>
        <i x="2" s="1"/>
        <i x="27" s="1"/>
        <i x="46" s="1"/>
        <i x="64" s="1"/>
        <i x="81" s="1"/>
        <i x="104" s="1"/>
        <i x="150" s="1"/>
        <i x="175" s="1"/>
        <i x="220" s="1"/>
        <i x="28" s="1"/>
        <i x="47" s="1"/>
        <i x="127" s="1"/>
        <i x="151" s="1"/>
        <i x="176" s="1"/>
        <i x="197" s="1"/>
        <i x="221" s="1"/>
        <i x="243" s="1"/>
        <i x="3" s="1"/>
        <i x="29" s="1"/>
        <i x="65" s="1"/>
        <i x="82" s="1"/>
        <i x="152" s="1"/>
        <i x="177" s="1"/>
        <i x="198" s="1"/>
        <i x="222" s="1"/>
        <i x="244" s="1"/>
        <i x="30" s="1"/>
        <i x="48" s="1"/>
        <i x="66" s="1"/>
        <i x="83" s="1"/>
        <i x="105" s="1"/>
        <i x="153" s="1"/>
        <i x="199" s="1"/>
        <i x="223" s="1"/>
        <i x="245" s="1"/>
        <i x="4" s="1"/>
        <i x="84" s="1"/>
        <i x="106" s="1"/>
        <i x="128" s="1"/>
        <i x="154" s="1"/>
        <i x="178" s="1"/>
        <i x="200" s="1"/>
        <i x="224" s="1"/>
        <i x="246" s="1"/>
        <i x="5" s="1"/>
        <i x="49" s="1"/>
        <i x="67" s="1"/>
        <i x="85" s="1"/>
        <i x="129" s="1"/>
        <i x="155" s="1"/>
        <i x="179" s="1"/>
        <i x="247" s="1"/>
        <i x="6" s="1"/>
        <i x="31" s="1"/>
        <i x="68" s="1"/>
        <i x="86" s="1"/>
        <i x="107" s="1"/>
        <i x="156" s="1"/>
        <i x="180" s="1"/>
        <i x="225" s="1"/>
        <i x="24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izza_size (حجم البيتزا)" xr10:uid="{2C70B8DE-209D-484A-819C-A9BA91D04E24}" cache="Slicer_pizza_size__حجم_البيتزا" caption="pizza_size (حجم البيتزا)" rowHeight="234950"/>
  <slicer name="pizza_category (فئة البيتزا)" xr10:uid="{94D14F8C-6913-430E-81C1-B9E4E5CE10EF}" cache="Slicer_pizza_category__فئة_البيتزا" caption="pizza_category (فئة البيتزا)" rowHeight="234950"/>
  <slicer name="order_date (تاريخ الطلب)" xr10:uid="{116CFEA7-8EB6-42BF-9531-B436BC27150F}" cache="Slicer_order_date__تاريخ_الطلب" caption="order_date (تاريخ الطلب)" startItem="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7BF8C-9A58-41D1-AC4D-1E6FF50C8B96}">
  <dimension ref="A1:L500"/>
  <sheetViews>
    <sheetView topLeftCell="C1" zoomScale="85" zoomScaleNormal="85" workbookViewId="0">
      <selection activeCell="G490" sqref="G490"/>
    </sheetView>
  </sheetViews>
  <sheetFormatPr defaultRowHeight="14.4" x14ac:dyDescent="0.3"/>
  <cols>
    <col min="1" max="1" width="19.33203125" bestFit="1" customWidth="1"/>
    <col min="2" max="2" width="17.88671875" bestFit="1" customWidth="1"/>
    <col min="3" max="3" width="27" bestFit="1" customWidth="1"/>
    <col min="4" max="4" width="15.44140625" bestFit="1" customWidth="1"/>
    <col min="5" max="5" width="23.44140625" bestFit="1" customWidth="1"/>
    <col min="6" max="6" width="22.88671875" bestFit="1" customWidth="1"/>
    <col min="7" max="7" width="21.88671875" bestFit="1" customWidth="1"/>
    <col min="8" max="8" width="5.6640625" bestFit="1" customWidth="1"/>
    <col min="9" max="9" width="21" bestFit="1" customWidth="1"/>
    <col min="10" max="10" width="23.88671875" bestFit="1" customWidth="1"/>
    <col min="11" max="11" width="39.44140625" bestFit="1" customWidth="1"/>
    <col min="12" max="12" width="28.109375" bestFit="1" customWidth="1"/>
  </cols>
  <sheetData>
    <row r="1" spans="1:12" ht="16.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v>1</v>
      </c>
      <c r="B2" s="4" t="s">
        <v>12</v>
      </c>
      <c r="C2" s="4" t="s">
        <v>13</v>
      </c>
      <c r="D2" s="4">
        <v>1</v>
      </c>
      <c r="E2" s="5">
        <v>42005</v>
      </c>
      <c r="F2" s="6">
        <v>0.49837962962962962</v>
      </c>
      <c r="G2" s="4">
        <v>16</v>
      </c>
      <c r="H2" s="4">
        <v>16</v>
      </c>
      <c r="I2" s="4" t="s">
        <v>14</v>
      </c>
      <c r="J2" s="4" t="s">
        <v>15</v>
      </c>
      <c r="K2" s="4" t="s">
        <v>16</v>
      </c>
      <c r="L2" s="7" t="s">
        <v>17</v>
      </c>
    </row>
    <row r="3" spans="1:12" ht="29.4" thickBot="1" x14ac:dyDescent="0.35">
      <c r="A3" s="8">
        <v>2</v>
      </c>
      <c r="B3" s="9" t="s">
        <v>18</v>
      </c>
      <c r="C3" s="9" t="s">
        <v>19</v>
      </c>
      <c r="D3" s="9">
        <v>1</v>
      </c>
      <c r="E3" s="10">
        <v>42005</v>
      </c>
      <c r="F3" s="11">
        <v>0.54373842592592592</v>
      </c>
      <c r="G3" s="9">
        <v>20.75</v>
      </c>
      <c r="H3" s="9">
        <v>20.75</v>
      </c>
      <c r="I3" s="9" t="s">
        <v>20</v>
      </c>
      <c r="J3" s="9" t="s">
        <v>21</v>
      </c>
      <c r="K3" s="9" t="s">
        <v>22</v>
      </c>
      <c r="L3" s="12" t="s">
        <v>23</v>
      </c>
    </row>
    <row r="4" spans="1:12" ht="43.8" thickBot="1" x14ac:dyDescent="0.35">
      <c r="A4" s="3">
        <v>3</v>
      </c>
      <c r="B4" s="4" t="s">
        <v>24</v>
      </c>
      <c r="C4" s="4" t="s">
        <v>25</v>
      </c>
      <c r="D4" s="4">
        <v>1</v>
      </c>
      <c r="E4" s="5">
        <v>42005</v>
      </c>
      <c r="F4" s="6">
        <v>0.812962962962963</v>
      </c>
      <c r="G4" s="4">
        <v>18.5</v>
      </c>
      <c r="H4" s="4">
        <v>18.5</v>
      </c>
      <c r="I4" s="4" t="s">
        <v>20</v>
      </c>
      <c r="J4" s="4" t="s">
        <v>26</v>
      </c>
      <c r="K4" s="4" t="s">
        <v>27</v>
      </c>
      <c r="L4" s="7" t="s">
        <v>28</v>
      </c>
    </row>
    <row r="5" spans="1:12" ht="29.4" thickBot="1" x14ac:dyDescent="0.35">
      <c r="A5" s="8">
        <v>4</v>
      </c>
      <c r="B5" s="9" t="s">
        <v>29</v>
      </c>
      <c r="C5" s="9" t="s">
        <v>30</v>
      </c>
      <c r="D5" s="9">
        <v>1</v>
      </c>
      <c r="E5" s="10">
        <v>42064</v>
      </c>
      <c r="F5" s="11">
        <v>0.90819444444444442</v>
      </c>
      <c r="G5" s="9">
        <v>20.75</v>
      </c>
      <c r="H5" s="9">
        <v>20.75</v>
      </c>
      <c r="I5" s="9" t="s">
        <v>20</v>
      </c>
      <c r="J5" s="9" t="s">
        <v>31</v>
      </c>
      <c r="K5" s="9" t="s">
        <v>32</v>
      </c>
      <c r="L5" s="12" t="s">
        <v>33</v>
      </c>
    </row>
    <row r="6" spans="1:12" ht="29.4" thickBot="1" x14ac:dyDescent="0.35">
      <c r="A6" s="3">
        <v>5</v>
      </c>
      <c r="B6" s="4" t="s">
        <v>34</v>
      </c>
      <c r="C6" s="4" t="s">
        <v>35</v>
      </c>
      <c r="D6" s="4">
        <v>1</v>
      </c>
      <c r="E6" s="5">
        <v>42156</v>
      </c>
      <c r="F6" s="6">
        <v>0.63780092592592597</v>
      </c>
      <c r="G6" s="4">
        <v>25.5</v>
      </c>
      <c r="H6" s="4">
        <v>25.5</v>
      </c>
      <c r="I6" s="4" t="s">
        <v>36</v>
      </c>
      <c r="J6" s="4" t="s">
        <v>15</v>
      </c>
      <c r="K6" s="4" t="s">
        <v>37</v>
      </c>
      <c r="L6" s="7" t="s">
        <v>38</v>
      </c>
    </row>
    <row r="7" spans="1:12" ht="15" thickBot="1" x14ac:dyDescent="0.35">
      <c r="A7" s="8">
        <v>6</v>
      </c>
      <c r="B7" s="9" t="s">
        <v>39</v>
      </c>
      <c r="C7" s="9" t="s">
        <v>40</v>
      </c>
      <c r="D7" s="9">
        <v>1</v>
      </c>
      <c r="E7" s="10">
        <v>42156</v>
      </c>
      <c r="F7" s="11">
        <v>0.72636574074074078</v>
      </c>
      <c r="G7" s="9">
        <v>15.25</v>
      </c>
      <c r="H7" s="9">
        <v>15.25</v>
      </c>
      <c r="I7" s="9" t="s">
        <v>20</v>
      </c>
      <c r="J7" s="9" t="s">
        <v>15</v>
      </c>
      <c r="K7" s="9" t="s">
        <v>41</v>
      </c>
      <c r="L7" s="12" t="s">
        <v>42</v>
      </c>
    </row>
    <row r="8" spans="1:12" ht="29.4" thickBot="1" x14ac:dyDescent="0.35">
      <c r="A8" s="3">
        <v>7</v>
      </c>
      <c r="B8" s="4" t="s">
        <v>43</v>
      </c>
      <c r="C8" s="4" t="s">
        <v>44</v>
      </c>
      <c r="D8" s="4">
        <v>1</v>
      </c>
      <c r="E8" s="5">
        <v>42217</v>
      </c>
      <c r="F8" s="6">
        <v>0.64806712962962965</v>
      </c>
      <c r="G8" s="4">
        <v>12.5</v>
      </c>
      <c r="H8" s="4">
        <v>12.5</v>
      </c>
      <c r="I8" s="4" t="s">
        <v>45</v>
      </c>
      <c r="J8" s="4" t="s">
        <v>31</v>
      </c>
      <c r="K8" s="4" t="s">
        <v>46</v>
      </c>
      <c r="L8" s="7" t="s">
        <v>47</v>
      </c>
    </row>
    <row r="9" spans="1:12" ht="29.4" thickBot="1" x14ac:dyDescent="0.35">
      <c r="A9" s="8">
        <v>8</v>
      </c>
      <c r="B9" s="9" t="s">
        <v>48</v>
      </c>
      <c r="C9" s="9" t="s">
        <v>49</v>
      </c>
      <c r="D9" s="9">
        <v>1</v>
      </c>
      <c r="E9" s="10">
        <v>42278</v>
      </c>
      <c r="F9" s="11">
        <v>0.60646990740740736</v>
      </c>
      <c r="G9" s="9">
        <v>20.75</v>
      </c>
      <c r="H9" s="9">
        <v>20.75</v>
      </c>
      <c r="I9" s="9" t="s">
        <v>20</v>
      </c>
      <c r="J9" s="9" t="s">
        <v>31</v>
      </c>
      <c r="K9" s="9" t="s">
        <v>50</v>
      </c>
      <c r="L9" s="12" t="s">
        <v>51</v>
      </c>
    </row>
    <row r="10" spans="1:12" ht="29.4" thickBot="1" x14ac:dyDescent="0.35">
      <c r="A10" s="3">
        <v>9</v>
      </c>
      <c r="B10" s="4" t="s">
        <v>52</v>
      </c>
      <c r="C10" s="4" t="s">
        <v>53</v>
      </c>
      <c r="D10" s="4">
        <v>1</v>
      </c>
      <c r="E10" s="5">
        <v>42278</v>
      </c>
      <c r="F10" s="6">
        <v>0.83211805555555551</v>
      </c>
      <c r="G10" s="4">
        <v>12.5</v>
      </c>
      <c r="H10" s="4">
        <v>12.5</v>
      </c>
      <c r="I10" s="4" t="s">
        <v>45</v>
      </c>
      <c r="J10" s="4" t="s">
        <v>31</v>
      </c>
      <c r="K10" s="4" t="s">
        <v>32</v>
      </c>
      <c r="L10" s="7" t="s">
        <v>33</v>
      </c>
    </row>
    <row r="11" spans="1:12" ht="43.8" thickBot="1" x14ac:dyDescent="0.35">
      <c r="A11" s="8">
        <v>10</v>
      </c>
      <c r="B11" s="9" t="s">
        <v>54</v>
      </c>
      <c r="C11" s="9" t="s">
        <v>55</v>
      </c>
      <c r="D11" s="9">
        <v>1</v>
      </c>
      <c r="E11" s="10">
        <v>42309</v>
      </c>
      <c r="F11" s="11">
        <v>0.8283449074074074</v>
      </c>
      <c r="G11" s="9">
        <v>12</v>
      </c>
      <c r="H11" s="9">
        <v>12</v>
      </c>
      <c r="I11" s="9" t="s">
        <v>45</v>
      </c>
      <c r="J11" s="9" t="s">
        <v>26</v>
      </c>
      <c r="K11" s="9" t="s">
        <v>56</v>
      </c>
      <c r="L11" s="12" t="s">
        <v>57</v>
      </c>
    </row>
    <row r="12" spans="1:12" ht="43.8" thickBot="1" x14ac:dyDescent="0.35">
      <c r="A12" s="3">
        <v>11</v>
      </c>
      <c r="B12" s="4" t="s">
        <v>58</v>
      </c>
      <c r="C12" s="4" t="s">
        <v>59</v>
      </c>
      <c r="D12" s="4">
        <v>1</v>
      </c>
      <c r="E12" s="5">
        <v>42339</v>
      </c>
      <c r="F12" s="6">
        <v>0.50096064814814811</v>
      </c>
      <c r="G12" s="4">
        <v>17.95</v>
      </c>
      <c r="H12" s="4">
        <v>17.95</v>
      </c>
      <c r="I12" s="4" t="s">
        <v>20</v>
      </c>
      <c r="J12" s="4" t="s">
        <v>26</v>
      </c>
      <c r="K12" s="4" t="s">
        <v>60</v>
      </c>
      <c r="L12" s="7" t="s">
        <v>61</v>
      </c>
    </row>
    <row r="13" spans="1:12" ht="29.4" thickBot="1" x14ac:dyDescent="0.35">
      <c r="A13" s="8">
        <v>12</v>
      </c>
      <c r="B13" s="9" t="s">
        <v>62</v>
      </c>
      <c r="C13" s="9" t="s">
        <v>63</v>
      </c>
      <c r="D13" s="9">
        <v>1</v>
      </c>
      <c r="E13" s="9" t="s">
        <v>64</v>
      </c>
      <c r="F13" s="11">
        <v>0.5672800925925926</v>
      </c>
      <c r="G13" s="9">
        <v>16</v>
      </c>
      <c r="H13" s="9">
        <v>16</v>
      </c>
      <c r="I13" s="9" t="s">
        <v>14</v>
      </c>
      <c r="J13" s="9" t="s">
        <v>15</v>
      </c>
      <c r="K13" s="9" t="s">
        <v>37</v>
      </c>
      <c r="L13" s="12" t="s">
        <v>38</v>
      </c>
    </row>
    <row r="14" spans="1:12" ht="43.8" thickBot="1" x14ac:dyDescent="0.35">
      <c r="A14" s="3">
        <v>13</v>
      </c>
      <c r="B14" s="4" t="s">
        <v>24</v>
      </c>
      <c r="C14" s="4" t="s">
        <v>65</v>
      </c>
      <c r="D14" s="4">
        <v>1</v>
      </c>
      <c r="E14" s="4" t="s">
        <v>66</v>
      </c>
      <c r="F14" s="6">
        <v>0.83898148148148144</v>
      </c>
      <c r="G14" s="4">
        <v>18.5</v>
      </c>
      <c r="H14" s="4">
        <v>18.5</v>
      </c>
      <c r="I14" s="4" t="s">
        <v>20</v>
      </c>
      <c r="J14" s="4" t="s">
        <v>26</v>
      </c>
      <c r="K14" s="4" t="s">
        <v>27</v>
      </c>
      <c r="L14" s="7" t="s">
        <v>28</v>
      </c>
    </row>
    <row r="15" spans="1:12" ht="29.4" thickBot="1" x14ac:dyDescent="0.35">
      <c r="A15" s="8">
        <v>14</v>
      </c>
      <c r="B15" s="9" t="s">
        <v>34</v>
      </c>
      <c r="C15" s="9" t="s">
        <v>67</v>
      </c>
      <c r="D15" s="9">
        <v>1</v>
      </c>
      <c r="E15" s="9" t="s">
        <v>68</v>
      </c>
      <c r="F15" s="11">
        <v>0.52093750000000005</v>
      </c>
      <c r="G15" s="9">
        <v>25.5</v>
      </c>
      <c r="H15" s="9">
        <v>25.5</v>
      </c>
      <c r="I15" s="9" t="s">
        <v>36</v>
      </c>
      <c r="J15" s="9" t="s">
        <v>15</v>
      </c>
      <c r="K15" s="9" t="s">
        <v>37</v>
      </c>
      <c r="L15" s="12" t="s">
        <v>38</v>
      </c>
    </row>
    <row r="16" spans="1:12" ht="29.4" thickBot="1" x14ac:dyDescent="0.35">
      <c r="A16" s="3">
        <v>15</v>
      </c>
      <c r="B16" s="4" t="s">
        <v>69</v>
      </c>
      <c r="C16" s="4" t="s">
        <v>70</v>
      </c>
      <c r="D16" s="4">
        <v>1</v>
      </c>
      <c r="E16" s="4" t="s">
        <v>68</v>
      </c>
      <c r="F16" s="6">
        <v>0.67707175925925922</v>
      </c>
      <c r="G16" s="4">
        <v>20.75</v>
      </c>
      <c r="H16" s="4">
        <v>20.75</v>
      </c>
      <c r="I16" s="4" t="s">
        <v>20</v>
      </c>
      <c r="J16" s="4" t="s">
        <v>31</v>
      </c>
      <c r="K16" s="4" t="s">
        <v>71</v>
      </c>
      <c r="L16" s="7" t="s">
        <v>72</v>
      </c>
    </row>
    <row r="17" spans="1:12" ht="29.4" thickBot="1" x14ac:dyDescent="0.35">
      <c r="A17" s="8">
        <v>16</v>
      </c>
      <c r="B17" s="9" t="s">
        <v>73</v>
      </c>
      <c r="C17" s="9" t="s">
        <v>74</v>
      </c>
      <c r="D17" s="9">
        <v>1</v>
      </c>
      <c r="E17" s="9" t="s">
        <v>68</v>
      </c>
      <c r="F17" s="11">
        <v>0.79428240740740741</v>
      </c>
      <c r="G17" s="9">
        <v>16.75</v>
      </c>
      <c r="H17" s="9">
        <v>16.75</v>
      </c>
      <c r="I17" s="9" t="s">
        <v>14</v>
      </c>
      <c r="J17" s="9" t="s">
        <v>26</v>
      </c>
      <c r="K17" s="9" t="s">
        <v>75</v>
      </c>
      <c r="L17" s="12" t="s">
        <v>76</v>
      </c>
    </row>
    <row r="18" spans="1:12" ht="29.4" thickBot="1" x14ac:dyDescent="0.35">
      <c r="A18" s="3">
        <v>17</v>
      </c>
      <c r="B18" s="4" t="s">
        <v>77</v>
      </c>
      <c r="C18" s="4" t="s">
        <v>78</v>
      </c>
      <c r="D18" s="4">
        <v>1</v>
      </c>
      <c r="E18" s="4" t="s">
        <v>79</v>
      </c>
      <c r="F18" s="6">
        <v>0.92637731481481478</v>
      </c>
      <c r="G18" s="4">
        <v>12.25</v>
      </c>
      <c r="H18" s="4">
        <v>12.25</v>
      </c>
      <c r="I18" s="4" t="s">
        <v>45</v>
      </c>
      <c r="J18" s="4" t="s">
        <v>31</v>
      </c>
      <c r="K18" s="4" t="s">
        <v>80</v>
      </c>
      <c r="L18" s="7" t="s">
        <v>81</v>
      </c>
    </row>
    <row r="19" spans="1:12" ht="29.4" thickBot="1" x14ac:dyDescent="0.35">
      <c r="A19" s="8">
        <v>18</v>
      </c>
      <c r="B19" s="9" t="s">
        <v>12</v>
      </c>
      <c r="C19" s="9" t="s">
        <v>82</v>
      </c>
      <c r="D19" s="9">
        <v>1</v>
      </c>
      <c r="E19" s="9" t="s">
        <v>83</v>
      </c>
      <c r="F19" s="11">
        <v>0.75752314814814814</v>
      </c>
      <c r="G19" s="9">
        <v>16</v>
      </c>
      <c r="H19" s="9">
        <v>16</v>
      </c>
      <c r="I19" s="9" t="s">
        <v>14</v>
      </c>
      <c r="J19" s="9" t="s">
        <v>15</v>
      </c>
      <c r="K19" s="9" t="s">
        <v>16</v>
      </c>
      <c r="L19" s="12" t="s">
        <v>17</v>
      </c>
    </row>
    <row r="20" spans="1:12" ht="43.8" thickBot="1" x14ac:dyDescent="0.35">
      <c r="A20" s="3">
        <v>19</v>
      </c>
      <c r="B20" s="4" t="s">
        <v>84</v>
      </c>
      <c r="C20" s="4" t="s">
        <v>85</v>
      </c>
      <c r="D20" s="4">
        <v>1</v>
      </c>
      <c r="E20" s="4" t="s">
        <v>86</v>
      </c>
      <c r="F20" s="6">
        <v>0.49811342592592595</v>
      </c>
      <c r="G20" s="4">
        <v>12.75</v>
      </c>
      <c r="H20" s="4">
        <v>12.75</v>
      </c>
      <c r="I20" s="4" t="s">
        <v>45</v>
      </c>
      <c r="J20" s="4" t="s">
        <v>21</v>
      </c>
      <c r="K20" s="4" t="s">
        <v>87</v>
      </c>
      <c r="L20" s="7" t="s">
        <v>88</v>
      </c>
    </row>
    <row r="21" spans="1:12" ht="29.4" thickBot="1" x14ac:dyDescent="0.35">
      <c r="A21" s="8">
        <v>20</v>
      </c>
      <c r="B21" s="9" t="s">
        <v>62</v>
      </c>
      <c r="C21" s="9" t="s">
        <v>89</v>
      </c>
      <c r="D21" s="9">
        <v>1</v>
      </c>
      <c r="E21" s="9" t="s">
        <v>86</v>
      </c>
      <c r="F21" s="11">
        <v>0.83283564814814814</v>
      </c>
      <c r="G21" s="9">
        <v>16</v>
      </c>
      <c r="H21" s="9">
        <v>16</v>
      </c>
      <c r="I21" s="9" t="s">
        <v>14</v>
      </c>
      <c r="J21" s="9" t="s">
        <v>15</v>
      </c>
      <c r="K21" s="9" t="s">
        <v>37</v>
      </c>
      <c r="L21" s="12" t="s">
        <v>38</v>
      </c>
    </row>
    <row r="22" spans="1:12" ht="29.4" thickBot="1" x14ac:dyDescent="0.35">
      <c r="A22" s="3">
        <v>21</v>
      </c>
      <c r="B22" s="4" t="s">
        <v>90</v>
      </c>
      <c r="C22" s="4" t="s">
        <v>91</v>
      </c>
      <c r="D22" s="4">
        <v>1</v>
      </c>
      <c r="E22" s="4" t="s">
        <v>92</v>
      </c>
      <c r="F22" s="6">
        <v>0.52682870370370372</v>
      </c>
      <c r="G22" s="4">
        <v>20.25</v>
      </c>
      <c r="H22" s="4">
        <v>20.25</v>
      </c>
      <c r="I22" s="4" t="s">
        <v>20</v>
      </c>
      <c r="J22" s="4" t="s">
        <v>31</v>
      </c>
      <c r="K22" s="4" t="s">
        <v>80</v>
      </c>
      <c r="L22" s="7" t="s">
        <v>81</v>
      </c>
    </row>
    <row r="23" spans="1:12" ht="29.4" thickBot="1" x14ac:dyDescent="0.35">
      <c r="A23" s="8">
        <v>22</v>
      </c>
      <c r="B23" s="9" t="s">
        <v>93</v>
      </c>
      <c r="C23" s="9" t="s">
        <v>94</v>
      </c>
      <c r="D23" s="9">
        <v>1</v>
      </c>
      <c r="E23" s="9" t="s">
        <v>92</v>
      </c>
      <c r="F23" s="11">
        <v>0.79336805555555556</v>
      </c>
      <c r="G23" s="9">
        <v>16.5</v>
      </c>
      <c r="H23" s="9">
        <v>16.5</v>
      </c>
      <c r="I23" s="9" t="s">
        <v>14</v>
      </c>
      <c r="J23" s="9" t="s">
        <v>31</v>
      </c>
      <c r="K23" s="9" t="s">
        <v>95</v>
      </c>
      <c r="L23" s="12" t="s">
        <v>96</v>
      </c>
    </row>
    <row r="24" spans="1:12" ht="43.8" thickBot="1" x14ac:dyDescent="0.35">
      <c r="A24" s="3">
        <v>23</v>
      </c>
      <c r="B24" s="4" t="s">
        <v>97</v>
      </c>
      <c r="C24" s="4" t="s">
        <v>98</v>
      </c>
      <c r="D24" s="4">
        <v>1</v>
      </c>
      <c r="E24" s="4" t="s">
        <v>99</v>
      </c>
      <c r="F24" s="6">
        <v>0.5412731481481482</v>
      </c>
      <c r="G24" s="4">
        <v>12.75</v>
      </c>
      <c r="H24" s="4">
        <v>12.75</v>
      </c>
      <c r="I24" s="4" t="s">
        <v>45</v>
      </c>
      <c r="J24" s="4" t="s">
        <v>21</v>
      </c>
      <c r="K24" s="4" t="s">
        <v>100</v>
      </c>
      <c r="L24" s="7" t="s">
        <v>101</v>
      </c>
    </row>
    <row r="25" spans="1:12" ht="15" thickBot="1" x14ac:dyDescent="0.35">
      <c r="A25" s="8">
        <v>24</v>
      </c>
      <c r="B25" s="9" t="s">
        <v>102</v>
      </c>
      <c r="C25" s="9" t="s">
        <v>103</v>
      </c>
      <c r="D25" s="9">
        <v>1</v>
      </c>
      <c r="E25" s="9" t="s">
        <v>104</v>
      </c>
      <c r="F25" s="11">
        <v>0.67041666666666666</v>
      </c>
      <c r="G25" s="9">
        <v>9.75</v>
      </c>
      <c r="H25" s="9">
        <v>9.75</v>
      </c>
      <c r="I25" s="9" t="s">
        <v>45</v>
      </c>
      <c r="J25" s="9" t="s">
        <v>15</v>
      </c>
      <c r="K25" s="9" t="s">
        <v>41</v>
      </c>
      <c r="L25" s="12" t="s">
        <v>42</v>
      </c>
    </row>
    <row r="26" spans="1:12" ht="43.8" thickBot="1" x14ac:dyDescent="0.35">
      <c r="A26" s="3">
        <v>25</v>
      </c>
      <c r="B26" s="4" t="s">
        <v>105</v>
      </c>
      <c r="C26" s="4" t="s">
        <v>106</v>
      </c>
      <c r="D26" s="4">
        <v>1</v>
      </c>
      <c r="E26" s="4" t="s">
        <v>107</v>
      </c>
      <c r="F26" s="6">
        <v>0.78531249999999997</v>
      </c>
      <c r="G26" s="4">
        <v>20.25</v>
      </c>
      <c r="H26" s="4">
        <v>20.25</v>
      </c>
      <c r="I26" s="4" t="s">
        <v>20</v>
      </c>
      <c r="J26" s="4" t="s">
        <v>26</v>
      </c>
      <c r="K26" s="4" t="s">
        <v>108</v>
      </c>
      <c r="L26" s="7" t="s">
        <v>109</v>
      </c>
    </row>
    <row r="27" spans="1:12" ht="29.4" thickBot="1" x14ac:dyDescent="0.35">
      <c r="A27" s="8">
        <v>26</v>
      </c>
      <c r="B27" s="9" t="s">
        <v>12</v>
      </c>
      <c r="C27" s="9" t="s">
        <v>110</v>
      </c>
      <c r="D27" s="9">
        <v>1</v>
      </c>
      <c r="E27" s="9" t="s">
        <v>111</v>
      </c>
      <c r="F27" s="11">
        <v>0.56658564814814816</v>
      </c>
      <c r="G27" s="9">
        <v>16</v>
      </c>
      <c r="H27" s="9">
        <v>16</v>
      </c>
      <c r="I27" s="9" t="s">
        <v>14</v>
      </c>
      <c r="J27" s="9" t="s">
        <v>15</v>
      </c>
      <c r="K27" s="9" t="s">
        <v>16</v>
      </c>
      <c r="L27" s="12" t="s">
        <v>17</v>
      </c>
    </row>
    <row r="28" spans="1:12" ht="29.4" thickBot="1" x14ac:dyDescent="0.35">
      <c r="A28" s="3">
        <v>27</v>
      </c>
      <c r="B28" s="4" t="s">
        <v>112</v>
      </c>
      <c r="C28" s="4" t="s">
        <v>113</v>
      </c>
      <c r="D28" s="4">
        <v>1</v>
      </c>
      <c r="E28" s="4" t="s">
        <v>114</v>
      </c>
      <c r="F28" s="6">
        <v>0.62159722222222225</v>
      </c>
      <c r="G28" s="4">
        <v>20.75</v>
      </c>
      <c r="H28" s="4">
        <v>20.75</v>
      </c>
      <c r="I28" s="4" t="s">
        <v>20</v>
      </c>
      <c r="J28" s="4" t="s">
        <v>21</v>
      </c>
      <c r="K28" s="4" t="s">
        <v>115</v>
      </c>
      <c r="L28" s="7" t="s">
        <v>116</v>
      </c>
    </row>
    <row r="29" spans="1:12" ht="15" thickBot="1" x14ac:dyDescent="0.35">
      <c r="A29" s="8">
        <v>28</v>
      </c>
      <c r="B29" s="9" t="s">
        <v>117</v>
      </c>
      <c r="C29" s="9" t="s">
        <v>118</v>
      </c>
      <c r="D29" s="9">
        <v>1</v>
      </c>
      <c r="E29" s="9" t="s">
        <v>119</v>
      </c>
      <c r="F29" s="11">
        <v>0.56863425925925926</v>
      </c>
      <c r="G29" s="9">
        <v>16.5</v>
      </c>
      <c r="H29" s="9">
        <v>16.5</v>
      </c>
      <c r="I29" s="9" t="s">
        <v>20</v>
      </c>
      <c r="J29" s="9" t="s">
        <v>15</v>
      </c>
      <c r="K29" s="9" t="s">
        <v>120</v>
      </c>
      <c r="L29" s="12" t="s">
        <v>121</v>
      </c>
    </row>
    <row r="30" spans="1:12" ht="43.8" thickBot="1" x14ac:dyDescent="0.35">
      <c r="A30" s="3">
        <v>29</v>
      </c>
      <c r="B30" s="4" t="s">
        <v>24</v>
      </c>
      <c r="C30" s="4" t="s">
        <v>122</v>
      </c>
      <c r="D30" s="4">
        <v>1</v>
      </c>
      <c r="E30" s="4" t="s">
        <v>119</v>
      </c>
      <c r="F30" s="6">
        <v>0.77359953703703699</v>
      </c>
      <c r="G30" s="4">
        <v>18.5</v>
      </c>
      <c r="H30" s="4">
        <v>18.5</v>
      </c>
      <c r="I30" s="4" t="s">
        <v>20</v>
      </c>
      <c r="J30" s="4" t="s">
        <v>26</v>
      </c>
      <c r="K30" s="4" t="s">
        <v>27</v>
      </c>
      <c r="L30" s="7" t="s">
        <v>28</v>
      </c>
    </row>
    <row r="31" spans="1:12" ht="43.8" thickBot="1" x14ac:dyDescent="0.35">
      <c r="A31" s="8">
        <v>30</v>
      </c>
      <c r="B31" s="9" t="s">
        <v>58</v>
      </c>
      <c r="C31" s="9" t="s">
        <v>123</v>
      </c>
      <c r="D31" s="9">
        <v>1</v>
      </c>
      <c r="E31" s="9" t="s">
        <v>124</v>
      </c>
      <c r="F31" s="11">
        <v>0.51156250000000003</v>
      </c>
      <c r="G31" s="9">
        <v>17.95</v>
      </c>
      <c r="H31" s="9">
        <v>17.95</v>
      </c>
      <c r="I31" s="9" t="s">
        <v>20</v>
      </c>
      <c r="J31" s="9" t="s">
        <v>26</v>
      </c>
      <c r="K31" s="9" t="s">
        <v>60</v>
      </c>
      <c r="L31" s="12" t="s">
        <v>61</v>
      </c>
    </row>
    <row r="32" spans="1:12" ht="43.8" thickBot="1" x14ac:dyDescent="0.35">
      <c r="A32" s="3">
        <v>31</v>
      </c>
      <c r="B32" s="4" t="s">
        <v>125</v>
      </c>
      <c r="C32" s="4" t="s">
        <v>126</v>
      </c>
      <c r="D32" s="4">
        <v>1</v>
      </c>
      <c r="E32" s="4" t="s">
        <v>127</v>
      </c>
      <c r="F32" s="6">
        <v>0.5647685185185185</v>
      </c>
      <c r="G32" s="4">
        <v>20.75</v>
      </c>
      <c r="H32" s="4">
        <v>20.75</v>
      </c>
      <c r="I32" s="4" t="s">
        <v>20</v>
      </c>
      <c r="J32" s="4" t="s">
        <v>21</v>
      </c>
      <c r="K32" s="4" t="s">
        <v>87</v>
      </c>
      <c r="L32" s="7" t="s">
        <v>88</v>
      </c>
    </row>
    <row r="33" spans="1:12" ht="29.4" thickBot="1" x14ac:dyDescent="0.35">
      <c r="A33" s="8">
        <v>32</v>
      </c>
      <c r="B33" s="9" t="s">
        <v>18</v>
      </c>
      <c r="C33" s="9" t="s">
        <v>128</v>
      </c>
      <c r="D33" s="9">
        <v>1</v>
      </c>
      <c r="E33" s="9" t="s">
        <v>127</v>
      </c>
      <c r="F33" s="11">
        <v>0.56726851851851856</v>
      </c>
      <c r="G33" s="9">
        <v>20.75</v>
      </c>
      <c r="H33" s="9">
        <v>20.75</v>
      </c>
      <c r="I33" s="9" t="s">
        <v>20</v>
      </c>
      <c r="J33" s="9" t="s">
        <v>21</v>
      </c>
      <c r="K33" s="9" t="s">
        <v>22</v>
      </c>
      <c r="L33" s="12" t="s">
        <v>23</v>
      </c>
    </row>
    <row r="34" spans="1:12" ht="43.8" thickBot="1" x14ac:dyDescent="0.35">
      <c r="A34" s="3">
        <v>33</v>
      </c>
      <c r="B34" s="4" t="s">
        <v>125</v>
      </c>
      <c r="C34" s="4" t="s">
        <v>129</v>
      </c>
      <c r="D34" s="4">
        <v>1</v>
      </c>
      <c r="E34" s="4" t="s">
        <v>130</v>
      </c>
      <c r="F34" s="6">
        <v>0.51442129629629629</v>
      </c>
      <c r="G34" s="4">
        <v>20.75</v>
      </c>
      <c r="H34" s="4">
        <v>20.75</v>
      </c>
      <c r="I34" s="4" t="s">
        <v>20</v>
      </c>
      <c r="J34" s="4" t="s">
        <v>21</v>
      </c>
      <c r="K34" s="4" t="s">
        <v>87</v>
      </c>
      <c r="L34" s="7" t="s">
        <v>88</v>
      </c>
    </row>
    <row r="35" spans="1:12" ht="29.4" thickBot="1" x14ac:dyDescent="0.35">
      <c r="A35" s="8">
        <v>34</v>
      </c>
      <c r="B35" s="9" t="s">
        <v>131</v>
      </c>
      <c r="C35" s="9" t="s">
        <v>132</v>
      </c>
      <c r="D35" s="9">
        <v>1</v>
      </c>
      <c r="E35" s="10">
        <v>42006</v>
      </c>
      <c r="F35" s="11">
        <v>0.53043981481481484</v>
      </c>
      <c r="G35" s="9">
        <v>12.5</v>
      </c>
      <c r="H35" s="9">
        <v>12.5</v>
      </c>
      <c r="I35" s="9" t="s">
        <v>45</v>
      </c>
      <c r="J35" s="9" t="s">
        <v>31</v>
      </c>
      <c r="K35" s="9" t="s">
        <v>71</v>
      </c>
      <c r="L35" s="12" t="s">
        <v>72</v>
      </c>
    </row>
    <row r="36" spans="1:12" ht="43.8" thickBot="1" x14ac:dyDescent="0.35">
      <c r="A36" s="3">
        <v>35</v>
      </c>
      <c r="B36" s="4" t="s">
        <v>133</v>
      </c>
      <c r="C36" s="4" t="s">
        <v>134</v>
      </c>
      <c r="D36" s="4">
        <v>1</v>
      </c>
      <c r="E36" s="5">
        <v>42006</v>
      </c>
      <c r="F36" s="6">
        <v>0.67754629629629626</v>
      </c>
      <c r="G36" s="4">
        <v>16</v>
      </c>
      <c r="H36" s="4">
        <v>16</v>
      </c>
      <c r="I36" s="4" t="s">
        <v>14</v>
      </c>
      <c r="J36" s="4" t="s">
        <v>26</v>
      </c>
      <c r="K36" s="4" t="s">
        <v>56</v>
      </c>
      <c r="L36" s="7" t="s">
        <v>57</v>
      </c>
    </row>
    <row r="37" spans="1:12" ht="29.4" thickBot="1" x14ac:dyDescent="0.35">
      <c r="A37" s="8">
        <v>36</v>
      </c>
      <c r="B37" s="9" t="s">
        <v>69</v>
      </c>
      <c r="C37" s="9" t="s">
        <v>135</v>
      </c>
      <c r="D37" s="9">
        <v>1</v>
      </c>
      <c r="E37" s="10">
        <v>42037</v>
      </c>
      <c r="F37" s="11">
        <v>0.67655092592592592</v>
      </c>
      <c r="G37" s="9">
        <v>20.75</v>
      </c>
      <c r="H37" s="9">
        <v>20.75</v>
      </c>
      <c r="I37" s="9" t="s">
        <v>20</v>
      </c>
      <c r="J37" s="9" t="s">
        <v>31</v>
      </c>
      <c r="K37" s="9" t="s">
        <v>71</v>
      </c>
      <c r="L37" s="12" t="s">
        <v>72</v>
      </c>
    </row>
    <row r="38" spans="1:12" ht="29.4" thickBot="1" x14ac:dyDescent="0.35">
      <c r="A38" s="3">
        <v>37</v>
      </c>
      <c r="B38" s="4" t="s">
        <v>136</v>
      </c>
      <c r="C38" s="4" t="s">
        <v>137</v>
      </c>
      <c r="D38" s="4">
        <v>1</v>
      </c>
      <c r="E38" s="5">
        <v>42065</v>
      </c>
      <c r="F38" s="6">
        <v>0.71753472222222225</v>
      </c>
      <c r="G38" s="4">
        <v>16</v>
      </c>
      <c r="H38" s="4">
        <v>16</v>
      </c>
      <c r="I38" s="4" t="s">
        <v>14</v>
      </c>
      <c r="J38" s="4" t="s">
        <v>26</v>
      </c>
      <c r="K38" s="4" t="s">
        <v>138</v>
      </c>
      <c r="L38" s="7" t="s">
        <v>139</v>
      </c>
    </row>
    <row r="39" spans="1:12" ht="29.4" thickBot="1" x14ac:dyDescent="0.35">
      <c r="A39" s="8">
        <v>38</v>
      </c>
      <c r="B39" s="9" t="s">
        <v>140</v>
      </c>
      <c r="C39" s="9" t="s">
        <v>141</v>
      </c>
      <c r="D39" s="9">
        <v>1</v>
      </c>
      <c r="E39" s="10">
        <v>42126</v>
      </c>
      <c r="F39" s="11">
        <v>0.8405555555555555</v>
      </c>
      <c r="G39" s="9">
        <v>12.5</v>
      </c>
      <c r="H39" s="9">
        <v>12.5</v>
      </c>
      <c r="I39" s="9" t="s">
        <v>45</v>
      </c>
      <c r="J39" s="9" t="s">
        <v>31</v>
      </c>
      <c r="K39" s="9" t="s">
        <v>95</v>
      </c>
      <c r="L39" s="12" t="s">
        <v>96</v>
      </c>
    </row>
    <row r="40" spans="1:12" ht="15" thickBot="1" x14ac:dyDescent="0.35">
      <c r="A40" s="3">
        <v>39</v>
      </c>
      <c r="B40" s="4" t="s">
        <v>142</v>
      </c>
      <c r="C40" s="4" t="s">
        <v>143</v>
      </c>
      <c r="D40" s="4">
        <v>1</v>
      </c>
      <c r="E40" s="5">
        <v>42157</v>
      </c>
      <c r="F40" s="6">
        <v>0.58423611111111107</v>
      </c>
      <c r="G40" s="4">
        <v>10.5</v>
      </c>
      <c r="H40" s="4">
        <v>10.5</v>
      </c>
      <c r="I40" s="4" t="s">
        <v>45</v>
      </c>
      <c r="J40" s="4" t="s">
        <v>15</v>
      </c>
      <c r="K40" s="4" t="s">
        <v>120</v>
      </c>
      <c r="L40" s="7" t="s">
        <v>121</v>
      </c>
    </row>
    <row r="41" spans="1:12" ht="43.8" thickBot="1" x14ac:dyDescent="0.35">
      <c r="A41" s="8">
        <v>40</v>
      </c>
      <c r="B41" s="9" t="s">
        <v>105</v>
      </c>
      <c r="C41" s="9" t="s">
        <v>144</v>
      </c>
      <c r="D41" s="9">
        <v>1</v>
      </c>
      <c r="E41" s="10">
        <v>42157</v>
      </c>
      <c r="F41" s="11">
        <v>0.77909722222222222</v>
      </c>
      <c r="G41" s="9">
        <v>20.25</v>
      </c>
      <c r="H41" s="9">
        <v>20.25</v>
      </c>
      <c r="I41" s="9" t="s">
        <v>20</v>
      </c>
      <c r="J41" s="9" t="s">
        <v>26</v>
      </c>
      <c r="K41" s="9" t="s">
        <v>108</v>
      </c>
      <c r="L41" s="12" t="s">
        <v>109</v>
      </c>
    </row>
    <row r="42" spans="1:12" ht="29.4" thickBot="1" x14ac:dyDescent="0.35">
      <c r="A42" s="3">
        <v>41</v>
      </c>
      <c r="B42" s="4" t="s">
        <v>145</v>
      </c>
      <c r="C42" s="4" t="s">
        <v>146</v>
      </c>
      <c r="D42" s="4">
        <v>1</v>
      </c>
      <c r="E42" s="5">
        <v>42187</v>
      </c>
      <c r="F42" s="6">
        <v>0.72395833333333337</v>
      </c>
      <c r="G42" s="4">
        <v>16.75</v>
      </c>
      <c r="H42" s="4">
        <v>16.75</v>
      </c>
      <c r="I42" s="4" t="s">
        <v>14</v>
      </c>
      <c r="J42" s="4" t="s">
        <v>21</v>
      </c>
      <c r="K42" s="4" t="s">
        <v>147</v>
      </c>
      <c r="L42" s="7" t="s">
        <v>148</v>
      </c>
    </row>
    <row r="43" spans="1:12" ht="29.4" thickBot="1" x14ac:dyDescent="0.35">
      <c r="A43" s="8">
        <v>42</v>
      </c>
      <c r="B43" s="9" t="s">
        <v>149</v>
      </c>
      <c r="C43" s="9" t="s">
        <v>150</v>
      </c>
      <c r="D43" s="9">
        <v>1</v>
      </c>
      <c r="E43" s="10">
        <v>42187</v>
      </c>
      <c r="F43" s="11">
        <v>0.74809027777777781</v>
      </c>
      <c r="G43" s="9">
        <v>16.75</v>
      </c>
      <c r="H43" s="9">
        <v>16.75</v>
      </c>
      <c r="I43" s="9" t="s">
        <v>14</v>
      </c>
      <c r="J43" s="9" t="s">
        <v>21</v>
      </c>
      <c r="K43" s="9" t="s">
        <v>115</v>
      </c>
      <c r="L43" s="12" t="s">
        <v>116</v>
      </c>
    </row>
    <row r="44" spans="1:12" ht="29.4" thickBot="1" x14ac:dyDescent="0.35">
      <c r="A44" s="3">
        <v>43</v>
      </c>
      <c r="B44" s="4" t="s">
        <v>151</v>
      </c>
      <c r="C44" s="4" t="s">
        <v>152</v>
      </c>
      <c r="D44" s="4">
        <v>1</v>
      </c>
      <c r="E44" s="5">
        <v>42218</v>
      </c>
      <c r="F44" s="6">
        <v>0.50717592592592597</v>
      </c>
      <c r="G44" s="4">
        <v>20.5</v>
      </c>
      <c r="H44" s="4">
        <v>20.5</v>
      </c>
      <c r="I44" s="4" t="s">
        <v>20</v>
      </c>
      <c r="J44" s="4" t="s">
        <v>15</v>
      </c>
      <c r="K44" s="4" t="s">
        <v>37</v>
      </c>
      <c r="L44" s="7" t="s">
        <v>38</v>
      </c>
    </row>
    <row r="45" spans="1:12" ht="15" thickBot="1" x14ac:dyDescent="0.35">
      <c r="A45" s="8">
        <v>44</v>
      </c>
      <c r="B45" s="9" t="s">
        <v>142</v>
      </c>
      <c r="C45" s="9" t="s">
        <v>153</v>
      </c>
      <c r="D45" s="9">
        <v>1</v>
      </c>
      <c r="E45" s="10">
        <v>42218</v>
      </c>
      <c r="F45" s="11">
        <v>0.72152777777777777</v>
      </c>
      <c r="G45" s="9">
        <v>10.5</v>
      </c>
      <c r="H45" s="9">
        <v>10.5</v>
      </c>
      <c r="I45" s="9" t="s">
        <v>45</v>
      </c>
      <c r="J45" s="9" t="s">
        <v>15</v>
      </c>
      <c r="K45" s="9" t="s">
        <v>120</v>
      </c>
      <c r="L45" s="12" t="s">
        <v>121</v>
      </c>
    </row>
    <row r="46" spans="1:12" ht="29.4" thickBot="1" x14ac:dyDescent="0.35">
      <c r="A46" s="3">
        <v>45</v>
      </c>
      <c r="B46" s="4" t="s">
        <v>154</v>
      </c>
      <c r="C46" s="4" t="s">
        <v>155</v>
      </c>
      <c r="D46" s="4">
        <v>1</v>
      </c>
      <c r="E46" s="5">
        <v>42249</v>
      </c>
      <c r="F46" s="6">
        <v>0.58379629629629626</v>
      </c>
      <c r="G46" s="4">
        <v>20.75</v>
      </c>
      <c r="H46" s="4">
        <v>20.75</v>
      </c>
      <c r="I46" s="4" t="s">
        <v>20</v>
      </c>
      <c r="J46" s="4" t="s">
        <v>21</v>
      </c>
      <c r="K46" s="4" t="s">
        <v>156</v>
      </c>
      <c r="L46" s="7" t="s">
        <v>157</v>
      </c>
    </row>
    <row r="47" spans="1:12" ht="43.8" thickBot="1" x14ac:dyDescent="0.35">
      <c r="A47" s="8">
        <v>46</v>
      </c>
      <c r="B47" s="9" t="s">
        <v>58</v>
      </c>
      <c r="C47" s="9" t="s">
        <v>158</v>
      </c>
      <c r="D47" s="9">
        <v>1</v>
      </c>
      <c r="E47" s="10">
        <v>42340</v>
      </c>
      <c r="F47" s="11">
        <v>0.79856481481481478</v>
      </c>
      <c r="G47" s="9">
        <v>17.95</v>
      </c>
      <c r="H47" s="9">
        <v>17.95</v>
      </c>
      <c r="I47" s="9" t="s">
        <v>20</v>
      </c>
      <c r="J47" s="9" t="s">
        <v>26</v>
      </c>
      <c r="K47" s="9" t="s">
        <v>60</v>
      </c>
      <c r="L47" s="12" t="s">
        <v>61</v>
      </c>
    </row>
    <row r="48" spans="1:12" ht="29.4" thickBot="1" x14ac:dyDescent="0.35">
      <c r="A48" s="3">
        <v>47</v>
      </c>
      <c r="B48" s="4" t="s">
        <v>90</v>
      </c>
      <c r="C48" s="4" t="s">
        <v>159</v>
      </c>
      <c r="D48" s="4">
        <v>1</v>
      </c>
      <c r="E48" s="4" t="s">
        <v>160</v>
      </c>
      <c r="F48" s="6">
        <v>0.71331018518518519</v>
      </c>
      <c r="G48" s="4">
        <v>20.25</v>
      </c>
      <c r="H48" s="4">
        <v>20.25</v>
      </c>
      <c r="I48" s="4" t="s">
        <v>20</v>
      </c>
      <c r="J48" s="4" t="s">
        <v>31</v>
      </c>
      <c r="K48" s="4" t="s">
        <v>80</v>
      </c>
      <c r="L48" s="7" t="s">
        <v>81</v>
      </c>
    </row>
    <row r="49" spans="1:12" ht="29.4" thickBot="1" x14ac:dyDescent="0.35">
      <c r="A49" s="8">
        <v>48</v>
      </c>
      <c r="B49" s="9" t="s">
        <v>161</v>
      </c>
      <c r="C49" s="9" t="s">
        <v>162</v>
      </c>
      <c r="D49" s="9">
        <v>1</v>
      </c>
      <c r="E49" s="9" t="s">
        <v>163</v>
      </c>
      <c r="F49" s="11">
        <v>0.7878356481481481</v>
      </c>
      <c r="G49" s="9">
        <v>20.25</v>
      </c>
      <c r="H49" s="9">
        <v>20.25</v>
      </c>
      <c r="I49" s="9" t="s">
        <v>20</v>
      </c>
      <c r="J49" s="9" t="s">
        <v>31</v>
      </c>
      <c r="K49" s="9" t="s">
        <v>164</v>
      </c>
      <c r="L49" s="12" t="s">
        <v>165</v>
      </c>
    </row>
    <row r="50" spans="1:12" ht="29.4" thickBot="1" x14ac:dyDescent="0.35">
      <c r="A50" s="3">
        <v>49</v>
      </c>
      <c r="B50" s="4" t="s">
        <v>48</v>
      </c>
      <c r="C50" s="4" t="s">
        <v>166</v>
      </c>
      <c r="D50" s="4">
        <v>1</v>
      </c>
      <c r="E50" s="4" t="s">
        <v>163</v>
      </c>
      <c r="F50" s="6">
        <v>0.81650462962962966</v>
      </c>
      <c r="G50" s="4">
        <v>20.75</v>
      </c>
      <c r="H50" s="4">
        <v>20.75</v>
      </c>
      <c r="I50" s="4" t="s">
        <v>20</v>
      </c>
      <c r="J50" s="4" t="s">
        <v>31</v>
      </c>
      <c r="K50" s="4" t="s">
        <v>50</v>
      </c>
      <c r="L50" s="7" t="s">
        <v>51</v>
      </c>
    </row>
    <row r="51" spans="1:12" ht="29.4" thickBot="1" x14ac:dyDescent="0.35">
      <c r="A51" s="8">
        <v>50</v>
      </c>
      <c r="B51" s="9" t="s">
        <v>73</v>
      </c>
      <c r="C51" s="9" t="s">
        <v>167</v>
      </c>
      <c r="D51" s="9">
        <v>1</v>
      </c>
      <c r="E51" s="9" t="s">
        <v>163</v>
      </c>
      <c r="F51" s="11">
        <v>0.88079861111111113</v>
      </c>
      <c r="G51" s="9">
        <v>16.75</v>
      </c>
      <c r="H51" s="9">
        <v>16.75</v>
      </c>
      <c r="I51" s="9" t="s">
        <v>14</v>
      </c>
      <c r="J51" s="9" t="s">
        <v>26</v>
      </c>
      <c r="K51" s="9" t="s">
        <v>75</v>
      </c>
      <c r="L51" s="12" t="s">
        <v>76</v>
      </c>
    </row>
    <row r="52" spans="1:12" ht="29.4" thickBot="1" x14ac:dyDescent="0.35">
      <c r="A52" s="3">
        <v>51</v>
      </c>
      <c r="B52" s="4" t="s">
        <v>140</v>
      </c>
      <c r="C52" s="4" t="s">
        <v>168</v>
      </c>
      <c r="D52" s="4">
        <v>1</v>
      </c>
      <c r="E52" s="4" t="s">
        <v>169</v>
      </c>
      <c r="F52" s="6">
        <v>0.72870370370370374</v>
      </c>
      <c r="G52" s="4">
        <v>12.5</v>
      </c>
      <c r="H52" s="4">
        <v>12.5</v>
      </c>
      <c r="I52" s="4" t="s">
        <v>45</v>
      </c>
      <c r="J52" s="4" t="s">
        <v>31</v>
      </c>
      <c r="K52" s="4" t="s">
        <v>95</v>
      </c>
      <c r="L52" s="7" t="s">
        <v>96</v>
      </c>
    </row>
    <row r="53" spans="1:12" ht="29.4" thickBot="1" x14ac:dyDescent="0.35">
      <c r="A53" s="8">
        <v>52</v>
      </c>
      <c r="B53" s="9" t="s">
        <v>170</v>
      </c>
      <c r="C53" s="9" t="s">
        <v>171</v>
      </c>
      <c r="D53" s="9">
        <v>1</v>
      </c>
      <c r="E53" s="9" t="s">
        <v>172</v>
      </c>
      <c r="F53" s="11">
        <v>0.59510416666666666</v>
      </c>
      <c r="G53" s="9">
        <v>20.75</v>
      </c>
      <c r="H53" s="9">
        <v>20.75</v>
      </c>
      <c r="I53" s="9" t="s">
        <v>20</v>
      </c>
      <c r="J53" s="9" t="s">
        <v>31</v>
      </c>
      <c r="K53" s="9" t="s">
        <v>95</v>
      </c>
      <c r="L53" s="12" t="s">
        <v>96</v>
      </c>
    </row>
    <row r="54" spans="1:12" ht="29.4" thickBot="1" x14ac:dyDescent="0.35">
      <c r="A54" s="3">
        <v>53</v>
      </c>
      <c r="B54" s="4" t="s">
        <v>173</v>
      </c>
      <c r="C54" s="4" t="s">
        <v>174</v>
      </c>
      <c r="D54" s="4">
        <v>1</v>
      </c>
      <c r="E54" s="4" t="s">
        <v>172</v>
      </c>
      <c r="F54" s="6">
        <v>0.81025462962962957</v>
      </c>
      <c r="G54" s="4">
        <v>16.25</v>
      </c>
      <c r="H54" s="4">
        <v>16.25</v>
      </c>
      <c r="I54" s="4" t="s">
        <v>14</v>
      </c>
      <c r="J54" s="4" t="s">
        <v>31</v>
      </c>
      <c r="K54" s="4" t="s">
        <v>80</v>
      </c>
      <c r="L54" s="7" t="s">
        <v>81</v>
      </c>
    </row>
    <row r="55" spans="1:12" ht="29.4" thickBot="1" x14ac:dyDescent="0.35">
      <c r="A55" s="8">
        <v>54</v>
      </c>
      <c r="B55" s="9" t="s">
        <v>175</v>
      </c>
      <c r="C55" s="9" t="s">
        <v>176</v>
      </c>
      <c r="D55" s="9">
        <v>1</v>
      </c>
      <c r="E55" s="9" t="s">
        <v>177</v>
      </c>
      <c r="F55" s="11">
        <v>0.54222222222222227</v>
      </c>
      <c r="G55" s="9">
        <v>16.5</v>
      </c>
      <c r="H55" s="9">
        <v>16.5</v>
      </c>
      <c r="I55" s="9" t="s">
        <v>14</v>
      </c>
      <c r="J55" s="9" t="s">
        <v>31</v>
      </c>
      <c r="K55" s="9" t="s">
        <v>46</v>
      </c>
      <c r="L55" s="12" t="s">
        <v>47</v>
      </c>
    </row>
    <row r="56" spans="1:12" ht="43.8" thickBot="1" x14ac:dyDescent="0.35">
      <c r="A56" s="3">
        <v>55</v>
      </c>
      <c r="B56" s="4" t="s">
        <v>133</v>
      </c>
      <c r="C56" s="4" t="s">
        <v>178</v>
      </c>
      <c r="D56" s="4">
        <v>1</v>
      </c>
      <c r="E56" s="4" t="s">
        <v>177</v>
      </c>
      <c r="F56" s="6">
        <v>0.57724537037037038</v>
      </c>
      <c r="G56" s="4">
        <v>16</v>
      </c>
      <c r="H56" s="4">
        <v>16</v>
      </c>
      <c r="I56" s="4" t="s">
        <v>14</v>
      </c>
      <c r="J56" s="4" t="s">
        <v>26</v>
      </c>
      <c r="K56" s="4" t="s">
        <v>56</v>
      </c>
      <c r="L56" s="7" t="s">
        <v>57</v>
      </c>
    </row>
    <row r="57" spans="1:12" ht="29.4" thickBot="1" x14ac:dyDescent="0.35">
      <c r="A57" s="8">
        <v>56</v>
      </c>
      <c r="B57" s="9" t="s">
        <v>179</v>
      </c>
      <c r="C57" s="9" t="s">
        <v>180</v>
      </c>
      <c r="D57" s="9">
        <v>1</v>
      </c>
      <c r="E57" s="9" t="s">
        <v>177</v>
      </c>
      <c r="F57" s="11">
        <v>0.75034722222222228</v>
      </c>
      <c r="G57" s="9">
        <v>20.75</v>
      </c>
      <c r="H57" s="9">
        <v>20.75</v>
      </c>
      <c r="I57" s="9" t="s">
        <v>20</v>
      </c>
      <c r="J57" s="9" t="s">
        <v>31</v>
      </c>
      <c r="K57" s="9" t="s">
        <v>46</v>
      </c>
      <c r="L57" s="12" t="s">
        <v>47</v>
      </c>
    </row>
    <row r="58" spans="1:12" ht="29.4" thickBot="1" x14ac:dyDescent="0.35">
      <c r="A58" s="3">
        <v>57</v>
      </c>
      <c r="B58" s="4" t="s">
        <v>170</v>
      </c>
      <c r="C58" s="4" t="s">
        <v>181</v>
      </c>
      <c r="D58" s="4">
        <v>1</v>
      </c>
      <c r="E58" s="4" t="s">
        <v>182</v>
      </c>
      <c r="F58" s="6">
        <v>0.55131944444444447</v>
      </c>
      <c r="G58" s="4">
        <v>20.75</v>
      </c>
      <c r="H58" s="4">
        <v>20.75</v>
      </c>
      <c r="I58" s="4" t="s">
        <v>20</v>
      </c>
      <c r="J58" s="4" t="s">
        <v>31</v>
      </c>
      <c r="K58" s="4" t="s">
        <v>95</v>
      </c>
      <c r="L58" s="7" t="s">
        <v>96</v>
      </c>
    </row>
    <row r="59" spans="1:12" ht="29.4" thickBot="1" x14ac:dyDescent="0.35">
      <c r="A59" s="8">
        <v>58</v>
      </c>
      <c r="B59" s="9" t="s">
        <v>43</v>
      </c>
      <c r="C59" s="9" t="s">
        <v>183</v>
      </c>
      <c r="D59" s="9">
        <v>1</v>
      </c>
      <c r="E59" s="9" t="s">
        <v>182</v>
      </c>
      <c r="F59" s="11">
        <v>0.83151620370370372</v>
      </c>
      <c r="G59" s="9">
        <v>12.5</v>
      </c>
      <c r="H59" s="9">
        <v>12.5</v>
      </c>
      <c r="I59" s="9" t="s">
        <v>45</v>
      </c>
      <c r="J59" s="9" t="s">
        <v>31</v>
      </c>
      <c r="K59" s="9" t="s">
        <v>46</v>
      </c>
      <c r="L59" s="12" t="s">
        <v>47</v>
      </c>
    </row>
    <row r="60" spans="1:12" ht="43.8" thickBot="1" x14ac:dyDescent="0.35">
      <c r="A60" s="3">
        <v>59</v>
      </c>
      <c r="B60" s="4" t="s">
        <v>184</v>
      </c>
      <c r="C60" s="4" t="s">
        <v>185</v>
      </c>
      <c r="D60" s="4">
        <v>1</v>
      </c>
      <c r="E60" s="4" t="s">
        <v>186</v>
      </c>
      <c r="F60" s="6">
        <v>0.73495370370370372</v>
      </c>
      <c r="G60" s="4">
        <v>20.75</v>
      </c>
      <c r="H60" s="4">
        <v>20.75</v>
      </c>
      <c r="I60" s="4" t="s">
        <v>20</v>
      </c>
      <c r="J60" s="4" t="s">
        <v>21</v>
      </c>
      <c r="K60" s="4" t="s">
        <v>100</v>
      </c>
      <c r="L60" s="7" t="s">
        <v>101</v>
      </c>
    </row>
    <row r="61" spans="1:12" ht="29.4" thickBot="1" x14ac:dyDescent="0.35">
      <c r="A61" s="8">
        <v>60</v>
      </c>
      <c r="B61" s="9" t="s">
        <v>187</v>
      </c>
      <c r="C61" s="9" t="s">
        <v>188</v>
      </c>
      <c r="D61" s="9">
        <v>1</v>
      </c>
      <c r="E61" s="9" t="s">
        <v>186</v>
      </c>
      <c r="F61" s="11">
        <v>0.75357638888888889</v>
      </c>
      <c r="G61" s="9">
        <v>12.5</v>
      </c>
      <c r="H61" s="9">
        <v>12.5</v>
      </c>
      <c r="I61" s="9" t="s">
        <v>45</v>
      </c>
      <c r="J61" s="9" t="s">
        <v>26</v>
      </c>
      <c r="K61" s="9" t="s">
        <v>189</v>
      </c>
      <c r="L61" s="12" t="s">
        <v>190</v>
      </c>
    </row>
    <row r="62" spans="1:12" ht="29.4" thickBot="1" x14ac:dyDescent="0.35">
      <c r="A62" s="3">
        <v>61</v>
      </c>
      <c r="B62" s="4" t="s">
        <v>175</v>
      </c>
      <c r="C62" s="4" t="s">
        <v>191</v>
      </c>
      <c r="D62" s="4">
        <v>1</v>
      </c>
      <c r="E62" s="4" t="s">
        <v>192</v>
      </c>
      <c r="F62" s="6">
        <v>0.80907407407407406</v>
      </c>
      <c r="G62" s="4">
        <v>16.5</v>
      </c>
      <c r="H62" s="4">
        <v>16.5</v>
      </c>
      <c r="I62" s="4" t="s">
        <v>14</v>
      </c>
      <c r="J62" s="4" t="s">
        <v>31</v>
      </c>
      <c r="K62" s="4" t="s">
        <v>46</v>
      </c>
      <c r="L62" s="7" t="s">
        <v>47</v>
      </c>
    </row>
    <row r="63" spans="1:12" ht="29.4" thickBot="1" x14ac:dyDescent="0.35">
      <c r="A63" s="8">
        <v>62</v>
      </c>
      <c r="B63" s="9" t="s">
        <v>77</v>
      </c>
      <c r="C63" s="9" t="s">
        <v>193</v>
      </c>
      <c r="D63" s="9">
        <v>1</v>
      </c>
      <c r="E63" s="9" t="s">
        <v>194</v>
      </c>
      <c r="F63" s="11">
        <v>0.78157407407407409</v>
      </c>
      <c r="G63" s="9">
        <v>12.25</v>
      </c>
      <c r="H63" s="9">
        <v>12.25</v>
      </c>
      <c r="I63" s="9" t="s">
        <v>45</v>
      </c>
      <c r="J63" s="9" t="s">
        <v>31</v>
      </c>
      <c r="K63" s="9" t="s">
        <v>80</v>
      </c>
      <c r="L63" s="12" t="s">
        <v>81</v>
      </c>
    </row>
    <row r="64" spans="1:12" ht="29.4" thickBot="1" x14ac:dyDescent="0.35">
      <c r="A64" s="3">
        <v>63</v>
      </c>
      <c r="B64" s="4" t="s">
        <v>195</v>
      </c>
      <c r="C64" s="4" t="s">
        <v>196</v>
      </c>
      <c r="D64" s="4">
        <v>1</v>
      </c>
      <c r="E64" s="4" t="s">
        <v>197</v>
      </c>
      <c r="F64" s="6">
        <v>0.77453703703703702</v>
      </c>
      <c r="G64" s="4">
        <v>12</v>
      </c>
      <c r="H64" s="4">
        <v>12</v>
      </c>
      <c r="I64" s="4" t="s">
        <v>45</v>
      </c>
      <c r="J64" s="4" t="s">
        <v>15</v>
      </c>
      <c r="K64" s="4" t="s">
        <v>198</v>
      </c>
      <c r="L64" s="7" t="s">
        <v>199</v>
      </c>
    </row>
    <row r="65" spans="1:12" ht="43.8" thickBot="1" x14ac:dyDescent="0.35">
      <c r="A65" s="8">
        <v>64</v>
      </c>
      <c r="B65" s="9" t="s">
        <v>133</v>
      </c>
      <c r="C65" s="9" t="s">
        <v>200</v>
      </c>
      <c r="D65" s="9">
        <v>1</v>
      </c>
      <c r="E65" s="9" t="s">
        <v>197</v>
      </c>
      <c r="F65" s="11">
        <v>0.87979166666666664</v>
      </c>
      <c r="G65" s="9">
        <v>16</v>
      </c>
      <c r="H65" s="9">
        <v>16</v>
      </c>
      <c r="I65" s="9" t="s">
        <v>14</v>
      </c>
      <c r="J65" s="9" t="s">
        <v>26</v>
      </c>
      <c r="K65" s="9" t="s">
        <v>56</v>
      </c>
      <c r="L65" s="12" t="s">
        <v>57</v>
      </c>
    </row>
    <row r="66" spans="1:12" ht="29.4" thickBot="1" x14ac:dyDescent="0.35">
      <c r="A66" s="3">
        <v>65</v>
      </c>
      <c r="B66" s="4" t="s">
        <v>201</v>
      </c>
      <c r="C66" s="4" t="s">
        <v>202</v>
      </c>
      <c r="D66" s="4">
        <v>1</v>
      </c>
      <c r="E66" s="4" t="s">
        <v>197</v>
      </c>
      <c r="F66" s="6">
        <v>0.9620023148148148</v>
      </c>
      <c r="G66" s="4">
        <v>12</v>
      </c>
      <c r="H66" s="4">
        <v>12</v>
      </c>
      <c r="I66" s="4" t="s">
        <v>45</v>
      </c>
      <c r="J66" s="4" t="s">
        <v>15</v>
      </c>
      <c r="K66" s="4" t="s">
        <v>16</v>
      </c>
      <c r="L66" s="7" t="s">
        <v>17</v>
      </c>
    </row>
    <row r="67" spans="1:12" ht="43.8" thickBot="1" x14ac:dyDescent="0.35">
      <c r="A67" s="8">
        <v>66</v>
      </c>
      <c r="B67" s="9" t="s">
        <v>97</v>
      </c>
      <c r="C67" s="9" t="s">
        <v>203</v>
      </c>
      <c r="D67" s="9">
        <v>1</v>
      </c>
      <c r="E67" s="10">
        <v>42007</v>
      </c>
      <c r="F67" s="11">
        <v>0.76226851851851851</v>
      </c>
      <c r="G67" s="9">
        <v>12.75</v>
      </c>
      <c r="H67" s="9">
        <v>12.75</v>
      </c>
      <c r="I67" s="9" t="s">
        <v>45</v>
      </c>
      <c r="J67" s="9" t="s">
        <v>21</v>
      </c>
      <c r="K67" s="9" t="s">
        <v>100</v>
      </c>
      <c r="L67" s="12" t="s">
        <v>101</v>
      </c>
    </row>
    <row r="68" spans="1:12" ht="29.4" thickBot="1" x14ac:dyDescent="0.35">
      <c r="A68" s="3">
        <v>67</v>
      </c>
      <c r="B68" s="4" t="s">
        <v>204</v>
      </c>
      <c r="C68" s="4" t="s">
        <v>205</v>
      </c>
      <c r="D68" s="4">
        <v>1</v>
      </c>
      <c r="E68" s="5">
        <v>42066</v>
      </c>
      <c r="F68" s="6">
        <v>0.6284953703703704</v>
      </c>
      <c r="G68" s="4">
        <v>20.5</v>
      </c>
      <c r="H68" s="4">
        <v>20.5</v>
      </c>
      <c r="I68" s="4" t="s">
        <v>20</v>
      </c>
      <c r="J68" s="4" t="s">
        <v>15</v>
      </c>
      <c r="K68" s="4" t="s">
        <v>206</v>
      </c>
      <c r="L68" s="7" t="s">
        <v>207</v>
      </c>
    </row>
    <row r="69" spans="1:12" ht="29.4" thickBot="1" x14ac:dyDescent="0.35">
      <c r="A69" s="8">
        <v>68</v>
      </c>
      <c r="B69" s="9" t="s">
        <v>208</v>
      </c>
      <c r="C69" s="9" t="s">
        <v>209</v>
      </c>
      <c r="D69" s="9">
        <v>1</v>
      </c>
      <c r="E69" s="10">
        <v>42097</v>
      </c>
      <c r="F69" s="11">
        <v>0.74454861111111115</v>
      </c>
      <c r="G69" s="9">
        <v>12</v>
      </c>
      <c r="H69" s="9">
        <v>12</v>
      </c>
      <c r="I69" s="9" t="s">
        <v>45</v>
      </c>
      <c r="J69" s="9" t="s">
        <v>15</v>
      </c>
      <c r="K69" s="9" t="s">
        <v>210</v>
      </c>
      <c r="L69" s="12" t="s">
        <v>211</v>
      </c>
    </row>
    <row r="70" spans="1:12" ht="43.8" thickBot="1" x14ac:dyDescent="0.35">
      <c r="A70" s="3">
        <v>69</v>
      </c>
      <c r="B70" s="4" t="s">
        <v>125</v>
      </c>
      <c r="C70" s="4" t="s">
        <v>212</v>
      </c>
      <c r="D70" s="4">
        <v>1</v>
      </c>
      <c r="E70" s="5">
        <v>42127</v>
      </c>
      <c r="F70" s="6">
        <v>0.52111111111111108</v>
      </c>
      <c r="G70" s="4">
        <v>20.75</v>
      </c>
      <c r="H70" s="4">
        <v>20.75</v>
      </c>
      <c r="I70" s="4" t="s">
        <v>20</v>
      </c>
      <c r="J70" s="4" t="s">
        <v>21</v>
      </c>
      <c r="K70" s="4" t="s">
        <v>87</v>
      </c>
      <c r="L70" s="7" t="s">
        <v>88</v>
      </c>
    </row>
    <row r="71" spans="1:12" ht="15" thickBot="1" x14ac:dyDescent="0.35">
      <c r="A71" s="8">
        <v>70</v>
      </c>
      <c r="B71" s="9" t="s">
        <v>213</v>
      </c>
      <c r="C71" s="9" t="s">
        <v>166</v>
      </c>
      <c r="D71" s="9">
        <v>1</v>
      </c>
      <c r="E71" s="10">
        <v>42127</v>
      </c>
      <c r="F71" s="11">
        <v>0.61062499999999997</v>
      </c>
      <c r="G71" s="9">
        <v>13.25</v>
      </c>
      <c r="H71" s="9">
        <v>13.25</v>
      </c>
      <c r="I71" s="9" t="s">
        <v>14</v>
      </c>
      <c r="J71" s="9" t="s">
        <v>15</v>
      </c>
      <c r="K71" s="9" t="s">
        <v>120</v>
      </c>
      <c r="L71" s="12" t="s">
        <v>121</v>
      </c>
    </row>
    <row r="72" spans="1:12" ht="29.4" thickBot="1" x14ac:dyDescent="0.35">
      <c r="A72" s="3">
        <v>71</v>
      </c>
      <c r="B72" s="4" t="s">
        <v>29</v>
      </c>
      <c r="C72" s="4" t="s">
        <v>214</v>
      </c>
      <c r="D72" s="4">
        <v>1</v>
      </c>
      <c r="E72" s="5">
        <v>42127</v>
      </c>
      <c r="F72" s="6">
        <v>0.72979166666666662</v>
      </c>
      <c r="G72" s="4">
        <v>20.75</v>
      </c>
      <c r="H72" s="4">
        <v>20.75</v>
      </c>
      <c r="I72" s="4" t="s">
        <v>20</v>
      </c>
      <c r="J72" s="4" t="s">
        <v>31</v>
      </c>
      <c r="K72" s="4" t="s">
        <v>32</v>
      </c>
      <c r="L72" s="7" t="s">
        <v>33</v>
      </c>
    </row>
    <row r="73" spans="1:12" ht="15" thickBot="1" x14ac:dyDescent="0.35">
      <c r="A73" s="8">
        <v>72</v>
      </c>
      <c r="B73" s="9" t="s">
        <v>142</v>
      </c>
      <c r="C73" s="9" t="s">
        <v>215</v>
      </c>
      <c r="D73" s="9">
        <v>1</v>
      </c>
      <c r="E73" s="10">
        <v>42158</v>
      </c>
      <c r="F73" s="11">
        <v>0.57502314814814814</v>
      </c>
      <c r="G73" s="9">
        <v>10.5</v>
      </c>
      <c r="H73" s="9">
        <v>10.5</v>
      </c>
      <c r="I73" s="9" t="s">
        <v>45</v>
      </c>
      <c r="J73" s="9" t="s">
        <v>15</v>
      </c>
      <c r="K73" s="9" t="s">
        <v>120</v>
      </c>
      <c r="L73" s="12" t="s">
        <v>121</v>
      </c>
    </row>
    <row r="74" spans="1:12" ht="15" thickBot="1" x14ac:dyDescent="0.35">
      <c r="A74" s="3">
        <v>73</v>
      </c>
      <c r="B74" s="4" t="s">
        <v>142</v>
      </c>
      <c r="C74" s="4" t="s">
        <v>216</v>
      </c>
      <c r="D74" s="4">
        <v>1</v>
      </c>
      <c r="E74" s="5">
        <v>42158</v>
      </c>
      <c r="F74" s="6">
        <v>0.69975694444444447</v>
      </c>
      <c r="G74" s="4">
        <v>10.5</v>
      </c>
      <c r="H74" s="4">
        <v>10.5</v>
      </c>
      <c r="I74" s="4" t="s">
        <v>45</v>
      </c>
      <c r="J74" s="4" t="s">
        <v>15</v>
      </c>
      <c r="K74" s="4" t="s">
        <v>120</v>
      </c>
      <c r="L74" s="7" t="s">
        <v>121</v>
      </c>
    </row>
    <row r="75" spans="1:12" ht="29.4" thickBot="1" x14ac:dyDescent="0.35">
      <c r="A75" s="8">
        <v>74</v>
      </c>
      <c r="B75" s="9" t="s">
        <v>217</v>
      </c>
      <c r="C75" s="9" t="s">
        <v>218</v>
      </c>
      <c r="D75" s="9">
        <v>1</v>
      </c>
      <c r="E75" s="10">
        <v>42188</v>
      </c>
      <c r="F75" s="11">
        <v>0.78186342592592595</v>
      </c>
      <c r="G75" s="9">
        <v>20.75</v>
      </c>
      <c r="H75" s="9">
        <v>20.75</v>
      </c>
      <c r="I75" s="9" t="s">
        <v>20</v>
      </c>
      <c r="J75" s="9" t="s">
        <v>26</v>
      </c>
      <c r="K75" s="9" t="s">
        <v>189</v>
      </c>
      <c r="L75" s="12" t="s">
        <v>190</v>
      </c>
    </row>
    <row r="76" spans="1:12" ht="29.4" thickBot="1" x14ac:dyDescent="0.35">
      <c r="A76" s="3">
        <v>75</v>
      </c>
      <c r="B76" s="4" t="s">
        <v>201</v>
      </c>
      <c r="C76" s="4" t="s">
        <v>219</v>
      </c>
      <c r="D76" s="4">
        <v>1</v>
      </c>
      <c r="E76" s="5">
        <v>42250</v>
      </c>
      <c r="F76" s="6">
        <v>0.58736111111111111</v>
      </c>
      <c r="G76" s="4">
        <v>12</v>
      </c>
      <c r="H76" s="4">
        <v>12</v>
      </c>
      <c r="I76" s="4" t="s">
        <v>45</v>
      </c>
      <c r="J76" s="4" t="s">
        <v>15</v>
      </c>
      <c r="K76" s="4" t="s">
        <v>16</v>
      </c>
      <c r="L76" s="7" t="s">
        <v>17</v>
      </c>
    </row>
    <row r="77" spans="1:12" ht="29.4" thickBot="1" x14ac:dyDescent="0.35">
      <c r="A77" s="8">
        <v>76</v>
      </c>
      <c r="B77" s="9" t="s">
        <v>136</v>
      </c>
      <c r="C77" s="9" t="s">
        <v>220</v>
      </c>
      <c r="D77" s="9">
        <v>3</v>
      </c>
      <c r="E77" s="10">
        <v>42311</v>
      </c>
      <c r="F77" s="11">
        <v>0.89956018518518521</v>
      </c>
      <c r="G77" s="9">
        <v>16</v>
      </c>
      <c r="H77" s="9">
        <v>48</v>
      </c>
      <c r="I77" s="9" t="s">
        <v>14</v>
      </c>
      <c r="J77" s="9" t="s">
        <v>26</v>
      </c>
      <c r="K77" s="9" t="s">
        <v>138</v>
      </c>
      <c r="L77" s="12" t="s">
        <v>139</v>
      </c>
    </row>
    <row r="78" spans="1:12" ht="29.4" thickBot="1" x14ac:dyDescent="0.35">
      <c r="A78" s="3">
        <v>77</v>
      </c>
      <c r="B78" s="4" t="s">
        <v>221</v>
      </c>
      <c r="C78" s="4" t="s">
        <v>222</v>
      </c>
      <c r="D78" s="4">
        <v>1</v>
      </c>
      <c r="E78" s="4" t="s">
        <v>223</v>
      </c>
      <c r="F78" s="6">
        <v>0.53009259259259256</v>
      </c>
      <c r="G78" s="4">
        <v>12</v>
      </c>
      <c r="H78" s="4">
        <v>12</v>
      </c>
      <c r="I78" s="4" t="s">
        <v>45</v>
      </c>
      <c r="J78" s="4" t="s">
        <v>26</v>
      </c>
      <c r="K78" s="4" t="s">
        <v>224</v>
      </c>
      <c r="L78" s="7" t="s">
        <v>225</v>
      </c>
    </row>
    <row r="79" spans="1:12" ht="29.4" thickBot="1" x14ac:dyDescent="0.35">
      <c r="A79" s="8">
        <v>78</v>
      </c>
      <c r="B79" s="9" t="s">
        <v>195</v>
      </c>
      <c r="C79" s="9" t="s">
        <v>226</v>
      </c>
      <c r="D79" s="9">
        <v>1</v>
      </c>
      <c r="E79" s="9" t="s">
        <v>223</v>
      </c>
      <c r="F79" s="11">
        <v>0.74618055555555551</v>
      </c>
      <c r="G79" s="9">
        <v>12</v>
      </c>
      <c r="H79" s="9">
        <v>12</v>
      </c>
      <c r="I79" s="9" t="s">
        <v>45</v>
      </c>
      <c r="J79" s="9" t="s">
        <v>15</v>
      </c>
      <c r="K79" s="9" t="s">
        <v>198</v>
      </c>
      <c r="L79" s="12" t="s">
        <v>199</v>
      </c>
    </row>
    <row r="80" spans="1:12" ht="43.8" thickBot="1" x14ac:dyDescent="0.35">
      <c r="A80" s="3">
        <v>79</v>
      </c>
      <c r="B80" s="4" t="s">
        <v>58</v>
      </c>
      <c r="C80" s="4" t="s">
        <v>227</v>
      </c>
      <c r="D80" s="4">
        <v>1</v>
      </c>
      <c r="E80" s="4" t="s">
        <v>223</v>
      </c>
      <c r="F80" s="6">
        <v>0.80839120370370365</v>
      </c>
      <c r="G80" s="4">
        <v>17.95</v>
      </c>
      <c r="H80" s="4">
        <v>17.95</v>
      </c>
      <c r="I80" s="4" t="s">
        <v>20</v>
      </c>
      <c r="J80" s="4" t="s">
        <v>26</v>
      </c>
      <c r="K80" s="4" t="s">
        <v>60</v>
      </c>
      <c r="L80" s="7" t="s">
        <v>61</v>
      </c>
    </row>
    <row r="81" spans="1:12" ht="29.4" thickBot="1" x14ac:dyDescent="0.35">
      <c r="A81" s="8">
        <v>80</v>
      </c>
      <c r="B81" s="9" t="s">
        <v>228</v>
      </c>
      <c r="C81" s="9" t="s">
        <v>229</v>
      </c>
      <c r="D81" s="9">
        <v>1</v>
      </c>
      <c r="E81" s="9" t="s">
        <v>230</v>
      </c>
      <c r="F81" s="11">
        <v>0.59180555555555558</v>
      </c>
      <c r="G81" s="9">
        <v>16.5</v>
      </c>
      <c r="H81" s="9">
        <v>16.5</v>
      </c>
      <c r="I81" s="9" t="s">
        <v>14</v>
      </c>
      <c r="J81" s="9" t="s">
        <v>31</v>
      </c>
      <c r="K81" s="9" t="s">
        <v>50</v>
      </c>
      <c r="L81" s="12" t="s">
        <v>51</v>
      </c>
    </row>
    <row r="82" spans="1:12" ht="29.4" thickBot="1" x14ac:dyDescent="0.35">
      <c r="A82" s="3">
        <v>81</v>
      </c>
      <c r="B82" s="4" t="s">
        <v>231</v>
      </c>
      <c r="C82" s="4" t="s">
        <v>232</v>
      </c>
      <c r="D82" s="4">
        <v>1</v>
      </c>
      <c r="E82" s="4" t="s">
        <v>233</v>
      </c>
      <c r="F82" s="6">
        <v>0.66717592592592589</v>
      </c>
      <c r="G82" s="4">
        <v>16.5</v>
      </c>
      <c r="H82" s="4">
        <v>16.5</v>
      </c>
      <c r="I82" s="4" t="s">
        <v>14</v>
      </c>
      <c r="J82" s="4" t="s">
        <v>31</v>
      </c>
      <c r="K82" s="4" t="s">
        <v>71</v>
      </c>
      <c r="L82" s="7" t="s">
        <v>72</v>
      </c>
    </row>
    <row r="83" spans="1:12" ht="29.4" thickBot="1" x14ac:dyDescent="0.35">
      <c r="A83" s="8">
        <v>82</v>
      </c>
      <c r="B83" s="9" t="s">
        <v>161</v>
      </c>
      <c r="C83" s="9" t="s">
        <v>234</v>
      </c>
      <c r="D83" s="9">
        <v>1</v>
      </c>
      <c r="E83" s="9" t="s">
        <v>233</v>
      </c>
      <c r="F83" s="11">
        <v>0.69313657407407403</v>
      </c>
      <c r="G83" s="9">
        <v>20.25</v>
      </c>
      <c r="H83" s="9">
        <v>20.25</v>
      </c>
      <c r="I83" s="9" t="s">
        <v>20</v>
      </c>
      <c r="J83" s="9" t="s">
        <v>31</v>
      </c>
      <c r="K83" s="9" t="s">
        <v>164</v>
      </c>
      <c r="L83" s="12" t="s">
        <v>165</v>
      </c>
    </row>
    <row r="84" spans="1:12" ht="29.4" thickBot="1" x14ac:dyDescent="0.35">
      <c r="A84" s="3">
        <v>83</v>
      </c>
      <c r="B84" s="4" t="s">
        <v>18</v>
      </c>
      <c r="C84" s="4" t="s">
        <v>235</v>
      </c>
      <c r="D84" s="4">
        <v>1</v>
      </c>
      <c r="E84" s="4" t="s">
        <v>236</v>
      </c>
      <c r="F84" s="6">
        <v>0.77018518518518519</v>
      </c>
      <c r="G84" s="4">
        <v>20.75</v>
      </c>
      <c r="H84" s="4">
        <v>20.75</v>
      </c>
      <c r="I84" s="4" t="s">
        <v>20</v>
      </c>
      <c r="J84" s="4" t="s">
        <v>21</v>
      </c>
      <c r="K84" s="4" t="s">
        <v>22</v>
      </c>
      <c r="L84" s="7" t="s">
        <v>23</v>
      </c>
    </row>
    <row r="85" spans="1:12" ht="29.4" thickBot="1" x14ac:dyDescent="0.35">
      <c r="A85" s="8">
        <v>84</v>
      </c>
      <c r="B85" s="9" t="s">
        <v>173</v>
      </c>
      <c r="C85" s="9" t="s">
        <v>237</v>
      </c>
      <c r="D85" s="9">
        <v>1</v>
      </c>
      <c r="E85" s="9" t="s">
        <v>236</v>
      </c>
      <c r="F85" s="11">
        <v>0.80016203703703703</v>
      </c>
      <c r="G85" s="9">
        <v>16.25</v>
      </c>
      <c r="H85" s="9">
        <v>16.25</v>
      </c>
      <c r="I85" s="9" t="s">
        <v>14</v>
      </c>
      <c r="J85" s="9" t="s">
        <v>31</v>
      </c>
      <c r="K85" s="9" t="s">
        <v>80</v>
      </c>
      <c r="L85" s="12" t="s">
        <v>81</v>
      </c>
    </row>
    <row r="86" spans="1:12" ht="29.4" thickBot="1" x14ac:dyDescent="0.35">
      <c r="A86" s="3">
        <v>85</v>
      </c>
      <c r="B86" s="4" t="s">
        <v>238</v>
      </c>
      <c r="C86" s="4" t="s">
        <v>239</v>
      </c>
      <c r="D86" s="4">
        <v>1</v>
      </c>
      <c r="E86" s="4" t="s">
        <v>236</v>
      </c>
      <c r="F86" s="6">
        <v>0.8246296296296296</v>
      </c>
      <c r="G86" s="4">
        <v>21</v>
      </c>
      <c r="H86" s="4">
        <v>21</v>
      </c>
      <c r="I86" s="4" t="s">
        <v>20</v>
      </c>
      <c r="J86" s="4" t="s">
        <v>26</v>
      </c>
      <c r="K86" s="4" t="s">
        <v>75</v>
      </c>
      <c r="L86" s="7" t="s">
        <v>76</v>
      </c>
    </row>
    <row r="87" spans="1:12" ht="29.4" thickBot="1" x14ac:dyDescent="0.35">
      <c r="A87" s="8">
        <v>86</v>
      </c>
      <c r="B87" s="9" t="s">
        <v>240</v>
      </c>
      <c r="C87" s="9" t="s">
        <v>241</v>
      </c>
      <c r="D87" s="9">
        <v>1</v>
      </c>
      <c r="E87" s="9" t="s">
        <v>242</v>
      </c>
      <c r="F87" s="11">
        <v>0.48873842592592592</v>
      </c>
      <c r="G87" s="9">
        <v>12.75</v>
      </c>
      <c r="H87" s="9">
        <v>12.75</v>
      </c>
      <c r="I87" s="9" t="s">
        <v>45</v>
      </c>
      <c r="J87" s="9" t="s">
        <v>21</v>
      </c>
      <c r="K87" s="9" t="s">
        <v>115</v>
      </c>
      <c r="L87" s="12" t="s">
        <v>116</v>
      </c>
    </row>
    <row r="88" spans="1:12" ht="29.4" thickBot="1" x14ac:dyDescent="0.35">
      <c r="A88" s="3">
        <v>87</v>
      </c>
      <c r="B88" s="4" t="s">
        <v>243</v>
      </c>
      <c r="C88" s="4" t="s">
        <v>244</v>
      </c>
      <c r="D88" s="4">
        <v>1</v>
      </c>
      <c r="E88" s="4" t="s">
        <v>242</v>
      </c>
      <c r="F88" s="6">
        <v>0.58168981481481485</v>
      </c>
      <c r="G88" s="4">
        <v>12.5</v>
      </c>
      <c r="H88" s="4">
        <v>12.5</v>
      </c>
      <c r="I88" s="4" t="s">
        <v>45</v>
      </c>
      <c r="J88" s="4" t="s">
        <v>31</v>
      </c>
      <c r="K88" s="4" t="s">
        <v>50</v>
      </c>
      <c r="L88" s="7" t="s">
        <v>51</v>
      </c>
    </row>
    <row r="89" spans="1:12" ht="43.8" thickBot="1" x14ac:dyDescent="0.35">
      <c r="A89" s="8">
        <v>88</v>
      </c>
      <c r="B89" s="9" t="s">
        <v>58</v>
      </c>
      <c r="C89" s="9" t="s">
        <v>245</v>
      </c>
      <c r="D89" s="9">
        <v>1</v>
      </c>
      <c r="E89" s="9" t="s">
        <v>246</v>
      </c>
      <c r="F89" s="11">
        <v>0.82695601851851852</v>
      </c>
      <c r="G89" s="9">
        <v>17.95</v>
      </c>
      <c r="H89" s="9">
        <v>17.95</v>
      </c>
      <c r="I89" s="9" t="s">
        <v>20</v>
      </c>
      <c r="J89" s="9" t="s">
        <v>26</v>
      </c>
      <c r="K89" s="9" t="s">
        <v>60</v>
      </c>
      <c r="L89" s="12" t="s">
        <v>61</v>
      </c>
    </row>
    <row r="90" spans="1:12" ht="29.4" thickBot="1" x14ac:dyDescent="0.35">
      <c r="A90" s="3">
        <v>89</v>
      </c>
      <c r="B90" s="4" t="s">
        <v>247</v>
      </c>
      <c r="C90" s="4" t="s">
        <v>248</v>
      </c>
      <c r="D90" s="4">
        <v>1</v>
      </c>
      <c r="E90" s="4" t="s">
        <v>249</v>
      </c>
      <c r="F90" s="6">
        <v>0.76165509259259256</v>
      </c>
      <c r="G90" s="4">
        <v>12</v>
      </c>
      <c r="H90" s="4">
        <v>12</v>
      </c>
      <c r="I90" s="4" t="s">
        <v>45</v>
      </c>
      <c r="J90" s="4" t="s">
        <v>26</v>
      </c>
      <c r="K90" s="4" t="s">
        <v>138</v>
      </c>
      <c r="L90" s="7" t="s">
        <v>139</v>
      </c>
    </row>
    <row r="91" spans="1:12" ht="29.4" thickBot="1" x14ac:dyDescent="0.35">
      <c r="A91" s="8">
        <v>90</v>
      </c>
      <c r="B91" s="9" t="s">
        <v>228</v>
      </c>
      <c r="C91" s="9" t="s">
        <v>250</v>
      </c>
      <c r="D91" s="9">
        <v>1</v>
      </c>
      <c r="E91" s="9" t="s">
        <v>249</v>
      </c>
      <c r="F91" s="11">
        <v>0.76347222222222222</v>
      </c>
      <c r="G91" s="9">
        <v>16.5</v>
      </c>
      <c r="H91" s="9">
        <v>16.5</v>
      </c>
      <c r="I91" s="9" t="s">
        <v>14</v>
      </c>
      <c r="J91" s="9" t="s">
        <v>31</v>
      </c>
      <c r="K91" s="9" t="s">
        <v>50</v>
      </c>
      <c r="L91" s="12" t="s">
        <v>51</v>
      </c>
    </row>
    <row r="92" spans="1:12" ht="29.4" thickBot="1" x14ac:dyDescent="0.35">
      <c r="A92" s="3">
        <v>91</v>
      </c>
      <c r="B92" s="4" t="s">
        <v>251</v>
      </c>
      <c r="C92" s="4" t="s">
        <v>252</v>
      </c>
      <c r="D92" s="4">
        <v>1</v>
      </c>
      <c r="E92" s="4" t="s">
        <v>253</v>
      </c>
      <c r="F92" s="6">
        <v>0.61668981481481477</v>
      </c>
      <c r="G92" s="4">
        <v>16.75</v>
      </c>
      <c r="H92" s="4">
        <v>16.75</v>
      </c>
      <c r="I92" s="4" t="s">
        <v>14</v>
      </c>
      <c r="J92" s="4" t="s">
        <v>21</v>
      </c>
      <c r="K92" s="4" t="s">
        <v>156</v>
      </c>
      <c r="L92" s="7" t="s">
        <v>157</v>
      </c>
    </row>
    <row r="93" spans="1:12" ht="29.4" thickBot="1" x14ac:dyDescent="0.35">
      <c r="A93" s="8">
        <v>92</v>
      </c>
      <c r="B93" s="9" t="s">
        <v>112</v>
      </c>
      <c r="C93" s="9" t="s">
        <v>254</v>
      </c>
      <c r="D93" s="9">
        <v>1</v>
      </c>
      <c r="E93" s="9" t="s">
        <v>255</v>
      </c>
      <c r="F93" s="11">
        <v>0.52651620370370367</v>
      </c>
      <c r="G93" s="9">
        <v>20.75</v>
      </c>
      <c r="H93" s="9">
        <v>20.75</v>
      </c>
      <c r="I93" s="9" t="s">
        <v>20</v>
      </c>
      <c r="J93" s="9" t="s">
        <v>21</v>
      </c>
      <c r="K93" s="9" t="s">
        <v>115</v>
      </c>
      <c r="L93" s="12" t="s">
        <v>116</v>
      </c>
    </row>
    <row r="94" spans="1:12" ht="29.4" thickBot="1" x14ac:dyDescent="0.35">
      <c r="A94" s="3">
        <v>93</v>
      </c>
      <c r="B94" s="4" t="s">
        <v>256</v>
      </c>
      <c r="C94" s="4" t="s">
        <v>150</v>
      </c>
      <c r="D94" s="4">
        <v>1</v>
      </c>
      <c r="E94" s="4" t="s">
        <v>257</v>
      </c>
      <c r="F94" s="6">
        <v>0.70560185185185187</v>
      </c>
      <c r="G94" s="4">
        <v>16.25</v>
      </c>
      <c r="H94" s="4">
        <v>16.25</v>
      </c>
      <c r="I94" s="4" t="s">
        <v>14</v>
      </c>
      <c r="J94" s="4" t="s">
        <v>31</v>
      </c>
      <c r="K94" s="4" t="s">
        <v>164</v>
      </c>
      <c r="L94" s="7" t="s">
        <v>165</v>
      </c>
    </row>
    <row r="95" spans="1:12" ht="43.8" thickBot="1" x14ac:dyDescent="0.35">
      <c r="A95" s="8">
        <v>94</v>
      </c>
      <c r="B95" s="9" t="s">
        <v>24</v>
      </c>
      <c r="C95" s="9" t="s">
        <v>258</v>
      </c>
      <c r="D95" s="9">
        <v>1</v>
      </c>
      <c r="E95" s="9" t="s">
        <v>259</v>
      </c>
      <c r="F95" s="11">
        <v>0.53386574074074078</v>
      </c>
      <c r="G95" s="9">
        <v>18.5</v>
      </c>
      <c r="H95" s="9">
        <v>18.5</v>
      </c>
      <c r="I95" s="9" t="s">
        <v>20</v>
      </c>
      <c r="J95" s="9" t="s">
        <v>26</v>
      </c>
      <c r="K95" s="9" t="s">
        <v>27</v>
      </c>
      <c r="L95" s="12" t="s">
        <v>28</v>
      </c>
    </row>
    <row r="96" spans="1:12" ht="29.4" thickBot="1" x14ac:dyDescent="0.35">
      <c r="A96" s="3">
        <v>95</v>
      </c>
      <c r="B96" s="4" t="s">
        <v>69</v>
      </c>
      <c r="C96" s="4" t="s">
        <v>260</v>
      </c>
      <c r="D96" s="4">
        <v>1</v>
      </c>
      <c r="E96" s="4" t="s">
        <v>259</v>
      </c>
      <c r="F96" s="6">
        <v>0.92018518518518522</v>
      </c>
      <c r="G96" s="4">
        <v>20.75</v>
      </c>
      <c r="H96" s="4">
        <v>20.75</v>
      </c>
      <c r="I96" s="4" t="s">
        <v>20</v>
      </c>
      <c r="J96" s="4" t="s">
        <v>31</v>
      </c>
      <c r="K96" s="4" t="s">
        <v>71</v>
      </c>
      <c r="L96" s="7" t="s">
        <v>72</v>
      </c>
    </row>
    <row r="97" spans="1:12" ht="29.4" thickBot="1" x14ac:dyDescent="0.35">
      <c r="A97" s="8">
        <v>96</v>
      </c>
      <c r="B97" s="9" t="s">
        <v>170</v>
      </c>
      <c r="C97" s="9" t="s">
        <v>135</v>
      </c>
      <c r="D97" s="9">
        <v>1</v>
      </c>
      <c r="E97" s="10">
        <v>42008</v>
      </c>
      <c r="F97" s="11">
        <v>0.81200231481481477</v>
      </c>
      <c r="G97" s="9">
        <v>20.75</v>
      </c>
      <c r="H97" s="9">
        <v>20.75</v>
      </c>
      <c r="I97" s="9" t="s">
        <v>20</v>
      </c>
      <c r="J97" s="9" t="s">
        <v>31</v>
      </c>
      <c r="K97" s="9" t="s">
        <v>95</v>
      </c>
      <c r="L97" s="12" t="s">
        <v>96</v>
      </c>
    </row>
    <row r="98" spans="1:12" ht="29.4" thickBot="1" x14ac:dyDescent="0.35">
      <c r="A98" s="3">
        <v>97</v>
      </c>
      <c r="B98" s="4" t="s">
        <v>112</v>
      </c>
      <c r="C98" s="4" t="s">
        <v>261</v>
      </c>
      <c r="D98" s="4">
        <v>1</v>
      </c>
      <c r="E98" s="5">
        <v>42039</v>
      </c>
      <c r="F98" s="6">
        <v>0.80714120370370368</v>
      </c>
      <c r="G98" s="4">
        <v>20.75</v>
      </c>
      <c r="H98" s="4">
        <v>20.75</v>
      </c>
      <c r="I98" s="4" t="s">
        <v>20</v>
      </c>
      <c r="J98" s="4" t="s">
        <v>21</v>
      </c>
      <c r="K98" s="4" t="s">
        <v>115</v>
      </c>
      <c r="L98" s="7" t="s">
        <v>116</v>
      </c>
    </row>
    <row r="99" spans="1:12" ht="29.4" thickBot="1" x14ac:dyDescent="0.35">
      <c r="A99" s="8">
        <v>98</v>
      </c>
      <c r="B99" s="9" t="s">
        <v>201</v>
      </c>
      <c r="C99" s="9" t="s">
        <v>262</v>
      </c>
      <c r="D99" s="9">
        <v>1</v>
      </c>
      <c r="E99" s="10">
        <v>42098</v>
      </c>
      <c r="F99" s="11">
        <v>0.52758101851851846</v>
      </c>
      <c r="G99" s="9">
        <v>12</v>
      </c>
      <c r="H99" s="9">
        <v>12</v>
      </c>
      <c r="I99" s="9" t="s">
        <v>45</v>
      </c>
      <c r="J99" s="9" t="s">
        <v>15</v>
      </c>
      <c r="K99" s="9" t="s">
        <v>16</v>
      </c>
      <c r="L99" s="12" t="s">
        <v>17</v>
      </c>
    </row>
    <row r="100" spans="1:12" ht="29.4" thickBot="1" x14ac:dyDescent="0.35">
      <c r="A100" s="3">
        <v>99</v>
      </c>
      <c r="B100" s="4" t="s">
        <v>29</v>
      </c>
      <c r="C100" s="4" t="s">
        <v>263</v>
      </c>
      <c r="D100" s="4">
        <v>1</v>
      </c>
      <c r="E100" s="5">
        <v>42159</v>
      </c>
      <c r="F100" s="6">
        <v>0.47043981481481484</v>
      </c>
      <c r="G100" s="4">
        <v>20.75</v>
      </c>
      <c r="H100" s="4">
        <v>20.75</v>
      </c>
      <c r="I100" s="4" t="s">
        <v>20</v>
      </c>
      <c r="J100" s="4" t="s">
        <v>31</v>
      </c>
      <c r="K100" s="4" t="s">
        <v>32</v>
      </c>
      <c r="L100" s="7" t="s">
        <v>33</v>
      </c>
    </row>
    <row r="101" spans="1:12" ht="29.4" thickBot="1" x14ac:dyDescent="0.35">
      <c r="A101" s="8">
        <v>100</v>
      </c>
      <c r="B101" s="9" t="s">
        <v>264</v>
      </c>
      <c r="C101" s="9" t="s">
        <v>265</v>
      </c>
      <c r="D101" s="9">
        <v>1</v>
      </c>
      <c r="E101" s="10">
        <v>42159</v>
      </c>
      <c r="F101" s="11">
        <v>0.55921296296296297</v>
      </c>
      <c r="G101" s="9">
        <v>12</v>
      </c>
      <c r="H101" s="9">
        <v>12</v>
      </c>
      <c r="I101" s="9" t="s">
        <v>45</v>
      </c>
      <c r="J101" s="9" t="s">
        <v>15</v>
      </c>
      <c r="K101" s="9" t="s">
        <v>37</v>
      </c>
      <c r="L101" s="12" t="s">
        <v>38</v>
      </c>
    </row>
    <row r="102" spans="1:12" ht="29.4" thickBot="1" x14ac:dyDescent="0.35">
      <c r="A102" s="3">
        <v>101</v>
      </c>
      <c r="B102" s="4" t="s">
        <v>266</v>
      </c>
      <c r="C102" s="4" t="s">
        <v>267</v>
      </c>
      <c r="D102" s="4">
        <v>1</v>
      </c>
      <c r="E102" s="5">
        <v>42159</v>
      </c>
      <c r="F102" s="6">
        <v>0.55921296296296297</v>
      </c>
      <c r="G102" s="4">
        <v>20.25</v>
      </c>
      <c r="H102" s="4">
        <v>20.25</v>
      </c>
      <c r="I102" s="4" t="s">
        <v>20</v>
      </c>
      <c r="J102" s="4" t="s">
        <v>26</v>
      </c>
      <c r="K102" s="4" t="s">
        <v>138</v>
      </c>
      <c r="L102" s="7" t="s">
        <v>139</v>
      </c>
    </row>
    <row r="103" spans="1:12" ht="29.4" thickBot="1" x14ac:dyDescent="0.35">
      <c r="A103" s="8">
        <v>102</v>
      </c>
      <c r="B103" s="9" t="s">
        <v>34</v>
      </c>
      <c r="C103" s="9" t="s">
        <v>268</v>
      </c>
      <c r="D103" s="9">
        <v>1</v>
      </c>
      <c r="E103" s="10">
        <v>42159</v>
      </c>
      <c r="F103" s="11">
        <v>0.7034259259259259</v>
      </c>
      <c r="G103" s="9">
        <v>25.5</v>
      </c>
      <c r="H103" s="9">
        <v>25.5</v>
      </c>
      <c r="I103" s="9" t="s">
        <v>36</v>
      </c>
      <c r="J103" s="9" t="s">
        <v>15</v>
      </c>
      <c r="K103" s="9" t="s">
        <v>37</v>
      </c>
      <c r="L103" s="12" t="s">
        <v>38</v>
      </c>
    </row>
    <row r="104" spans="1:12" ht="43.8" thickBot="1" x14ac:dyDescent="0.35">
      <c r="A104" s="3">
        <v>103</v>
      </c>
      <c r="B104" s="4" t="s">
        <v>84</v>
      </c>
      <c r="C104" s="4" t="s">
        <v>269</v>
      </c>
      <c r="D104" s="4">
        <v>1</v>
      </c>
      <c r="E104" s="5">
        <v>42220</v>
      </c>
      <c r="F104" s="6">
        <v>0.71403935185185186</v>
      </c>
      <c r="G104" s="4">
        <v>12.75</v>
      </c>
      <c r="H104" s="4">
        <v>12.75</v>
      </c>
      <c r="I104" s="4" t="s">
        <v>45</v>
      </c>
      <c r="J104" s="4" t="s">
        <v>21</v>
      </c>
      <c r="K104" s="4" t="s">
        <v>87</v>
      </c>
      <c r="L104" s="7" t="s">
        <v>88</v>
      </c>
    </row>
    <row r="105" spans="1:12" ht="29.4" thickBot="1" x14ac:dyDescent="0.35">
      <c r="A105" s="8">
        <v>104</v>
      </c>
      <c r="B105" s="9" t="s">
        <v>195</v>
      </c>
      <c r="C105" s="9" t="s">
        <v>270</v>
      </c>
      <c r="D105" s="9">
        <v>1</v>
      </c>
      <c r="E105" s="10">
        <v>42220</v>
      </c>
      <c r="F105" s="11">
        <v>0.72807870370370376</v>
      </c>
      <c r="G105" s="9">
        <v>12</v>
      </c>
      <c r="H105" s="9">
        <v>12</v>
      </c>
      <c r="I105" s="9" t="s">
        <v>45</v>
      </c>
      <c r="J105" s="9" t="s">
        <v>15</v>
      </c>
      <c r="K105" s="9" t="s">
        <v>198</v>
      </c>
      <c r="L105" s="12" t="s">
        <v>199</v>
      </c>
    </row>
    <row r="106" spans="1:12" ht="29.4" thickBot="1" x14ac:dyDescent="0.35">
      <c r="A106" s="3">
        <v>105</v>
      </c>
      <c r="B106" s="4" t="s">
        <v>271</v>
      </c>
      <c r="C106" s="4" t="s">
        <v>272</v>
      </c>
      <c r="D106" s="4">
        <v>1</v>
      </c>
      <c r="E106" s="5">
        <v>42251</v>
      </c>
      <c r="F106" s="6">
        <v>0.49037037037037035</v>
      </c>
      <c r="G106" s="4">
        <v>16</v>
      </c>
      <c r="H106" s="4">
        <v>16</v>
      </c>
      <c r="I106" s="4" t="s">
        <v>14</v>
      </c>
      <c r="J106" s="4" t="s">
        <v>26</v>
      </c>
      <c r="K106" s="4" t="s">
        <v>224</v>
      </c>
      <c r="L106" s="7" t="s">
        <v>225</v>
      </c>
    </row>
    <row r="107" spans="1:12" ht="29.4" thickBot="1" x14ac:dyDescent="0.35">
      <c r="A107" s="8">
        <v>106</v>
      </c>
      <c r="B107" s="9" t="s">
        <v>231</v>
      </c>
      <c r="C107" s="9" t="s">
        <v>273</v>
      </c>
      <c r="D107" s="9">
        <v>1</v>
      </c>
      <c r="E107" s="10">
        <v>42251</v>
      </c>
      <c r="F107" s="11">
        <v>0.49725694444444446</v>
      </c>
      <c r="G107" s="9">
        <v>16.5</v>
      </c>
      <c r="H107" s="9">
        <v>16.5</v>
      </c>
      <c r="I107" s="9" t="s">
        <v>14</v>
      </c>
      <c r="J107" s="9" t="s">
        <v>31</v>
      </c>
      <c r="K107" s="9" t="s">
        <v>71</v>
      </c>
      <c r="L107" s="12" t="s">
        <v>72</v>
      </c>
    </row>
    <row r="108" spans="1:12" ht="29.4" thickBot="1" x14ac:dyDescent="0.35">
      <c r="A108" s="3">
        <v>107</v>
      </c>
      <c r="B108" s="4" t="s">
        <v>112</v>
      </c>
      <c r="C108" s="4" t="s">
        <v>274</v>
      </c>
      <c r="D108" s="4">
        <v>1</v>
      </c>
      <c r="E108" s="5">
        <v>42251</v>
      </c>
      <c r="F108" s="6">
        <v>0.68511574074074078</v>
      </c>
      <c r="G108" s="4">
        <v>20.75</v>
      </c>
      <c r="H108" s="4">
        <v>20.75</v>
      </c>
      <c r="I108" s="4" t="s">
        <v>20</v>
      </c>
      <c r="J108" s="4" t="s">
        <v>21</v>
      </c>
      <c r="K108" s="4" t="s">
        <v>115</v>
      </c>
      <c r="L108" s="7" t="s">
        <v>116</v>
      </c>
    </row>
    <row r="109" spans="1:12" ht="43.8" thickBot="1" x14ac:dyDescent="0.35">
      <c r="A109" s="8">
        <v>108</v>
      </c>
      <c r="B109" s="9" t="s">
        <v>275</v>
      </c>
      <c r="C109" s="9" t="s">
        <v>276</v>
      </c>
      <c r="D109" s="9">
        <v>1</v>
      </c>
      <c r="E109" s="10">
        <v>42312</v>
      </c>
      <c r="F109" s="11">
        <v>0.6888657407407407</v>
      </c>
      <c r="G109" s="9">
        <v>20.25</v>
      </c>
      <c r="H109" s="9">
        <v>20.25</v>
      </c>
      <c r="I109" s="9" t="s">
        <v>20</v>
      </c>
      <c r="J109" s="9" t="s">
        <v>26</v>
      </c>
      <c r="K109" s="9" t="s">
        <v>56</v>
      </c>
      <c r="L109" s="12" t="s">
        <v>57</v>
      </c>
    </row>
    <row r="110" spans="1:12" ht="29.4" thickBot="1" x14ac:dyDescent="0.35">
      <c r="A110" s="3">
        <v>109</v>
      </c>
      <c r="B110" s="4" t="s">
        <v>12</v>
      </c>
      <c r="C110" s="4" t="s">
        <v>277</v>
      </c>
      <c r="D110" s="4">
        <v>1</v>
      </c>
      <c r="E110" s="5">
        <v>42312</v>
      </c>
      <c r="F110" s="6">
        <v>0.9032175925925926</v>
      </c>
      <c r="G110" s="4">
        <v>16</v>
      </c>
      <c r="H110" s="4">
        <v>16</v>
      </c>
      <c r="I110" s="4" t="s">
        <v>14</v>
      </c>
      <c r="J110" s="4" t="s">
        <v>15</v>
      </c>
      <c r="K110" s="4" t="s">
        <v>16</v>
      </c>
      <c r="L110" s="7" t="s">
        <v>17</v>
      </c>
    </row>
    <row r="111" spans="1:12" ht="29.4" thickBot="1" x14ac:dyDescent="0.35">
      <c r="A111" s="8">
        <v>110</v>
      </c>
      <c r="B111" s="9" t="s">
        <v>34</v>
      </c>
      <c r="C111" s="9" t="s">
        <v>278</v>
      </c>
      <c r="D111" s="9">
        <v>1</v>
      </c>
      <c r="E111" s="10">
        <v>42312</v>
      </c>
      <c r="F111" s="11">
        <v>0.91311342592592593</v>
      </c>
      <c r="G111" s="9">
        <v>25.5</v>
      </c>
      <c r="H111" s="9">
        <v>25.5</v>
      </c>
      <c r="I111" s="9" t="s">
        <v>36</v>
      </c>
      <c r="J111" s="9" t="s">
        <v>15</v>
      </c>
      <c r="K111" s="9" t="s">
        <v>37</v>
      </c>
      <c r="L111" s="12" t="s">
        <v>38</v>
      </c>
    </row>
    <row r="112" spans="1:12" ht="15" thickBot="1" x14ac:dyDescent="0.35">
      <c r="A112" s="3">
        <v>111</v>
      </c>
      <c r="B112" s="4" t="s">
        <v>39</v>
      </c>
      <c r="C112" s="4" t="s">
        <v>279</v>
      </c>
      <c r="D112" s="4">
        <v>1</v>
      </c>
      <c r="E112" s="5">
        <v>42312</v>
      </c>
      <c r="F112" s="6">
        <v>0.92215277777777782</v>
      </c>
      <c r="G112" s="4">
        <v>15.25</v>
      </c>
      <c r="H112" s="4">
        <v>15.25</v>
      </c>
      <c r="I112" s="4" t="s">
        <v>20</v>
      </c>
      <c r="J112" s="4" t="s">
        <v>15</v>
      </c>
      <c r="K112" s="4" t="s">
        <v>41</v>
      </c>
      <c r="L112" s="7" t="s">
        <v>42</v>
      </c>
    </row>
    <row r="113" spans="1:12" ht="29.4" thickBot="1" x14ac:dyDescent="0.35">
      <c r="A113" s="8">
        <v>112</v>
      </c>
      <c r="B113" s="9" t="s">
        <v>34</v>
      </c>
      <c r="C113" s="9" t="s">
        <v>280</v>
      </c>
      <c r="D113" s="9">
        <v>1</v>
      </c>
      <c r="E113" s="10">
        <v>42342</v>
      </c>
      <c r="F113" s="11">
        <v>0.49928240740740742</v>
      </c>
      <c r="G113" s="9">
        <v>25.5</v>
      </c>
      <c r="H113" s="9">
        <v>25.5</v>
      </c>
      <c r="I113" s="9" t="s">
        <v>36</v>
      </c>
      <c r="J113" s="9" t="s">
        <v>15</v>
      </c>
      <c r="K113" s="9" t="s">
        <v>37</v>
      </c>
      <c r="L113" s="12" t="s">
        <v>38</v>
      </c>
    </row>
    <row r="114" spans="1:12" ht="29.4" thickBot="1" x14ac:dyDescent="0.35">
      <c r="A114" s="3">
        <v>113</v>
      </c>
      <c r="B114" s="4" t="s">
        <v>281</v>
      </c>
      <c r="C114" s="4" t="s">
        <v>282</v>
      </c>
      <c r="D114" s="4">
        <v>1</v>
      </c>
      <c r="E114" s="4" t="s">
        <v>283</v>
      </c>
      <c r="F114" s="6">
        <v>0.49055555555555558</v>
      </c>
      <c r="G114" s="4">
        <v>20.75</v>
      </c>
      <c r="H114" s="4">
        <v>20.75</v>
      </c>
      <c r="I114" s="4" t="s">
        <v>20</v>
      </c>
      <c r="J114" s="4" t="s">
        <v>21</v>
      </c>
      <c r="K114" s="4" t="s">
        <v>147</v>
      </c>
      <c r="L114" s="7" t="s">
        <v>148</v>
      </c>
    </row>
    <row r="115" spans="1:12" ht="43.8" thickBot="1" x14ac:dyDescent="0.35">
      <c r="A115" s="8">
        <v>114</v>
      </c>
      <c r="B115" s="9" t="s">
        <v>125</v>
      </c>
      <c r="C115" s="9" t="s">
        <v>284</v>
      </c>
      <c r="D115" s="9">
        <v>2</v>
      </c>
      <c r="E115" s="9" t="s">
        <v>285</v>
      </c>
      <c r="F115" s="11">
        <v>0.55197916666666669</v>
      </c>
      <c r="G115" s="9">
        <v>20.75</v>
      </c>
      <c r="H115" s="9">
        <v>41.5</v>
      </c>
      <c r="I115" s="9" t="s">
        <v>20</v>
      </c>
      <c r="J115" s="9" t="s">
        <v>21</v>
      </c>
      <c r="K115" s="9" t="s">
        <v>87</v>
      </c>
      <c r="L115" s="12" t="s">
        <v>88</v>
      </c>
    </row>
    <row r="116" spans="1:12" ht="29.4" thickBot="1" x14ac:dyDescent="0.35">
      <c r="A116" s="3">
        <v>115</v>
      </c>
      <c r="B116" s="4" t="s">
        <v>112</v>
      </c>
      <c r="C116" s="4" t="s">
        <v>286</v>
      </c>
      <c r="D116" s="4">
        <v>1</v>
      </c>
      <c r="E116" s="4" t="s">
        <v>285</v>
      </c>
      <c r="F116" s="6">
        <v>0.872650462962963</v>
      </c>
      <c r="G116" s="4">
        <v>20.75</v>
      </c>
      <c r="H116" s="4">
        <v>20.75</v>
      </c>
      <c r="I116" s="4" t="s">
        <v>20</v>
      </c>
      <c r="J116" s="4" t="s">
        <v>21</v>
      </c>
      <c r="K116" s="4" t="s">
        <v>115</v>
      </c>
      <c r="L116" s="7" t="s">
        <v>116</v>
      </c>
    </row>
    <row r="117" spans="1:12" ht="43.8" thickBot="1" x14ac:dyDescent="0.35">
      <c r="A117" s="8">
        <v>116</v>
      </c>
      <c r="B117" s="9" t="s">
        <v>287</v>
      </c>
      <c r="C117" s="9" t="s">
        <v>288</v>
      </c>
      <c r="D117" s="9">
        <v>1</v>
      </c>
      <c r="E117" s="9" t="s">
        <v>289</v>
      </c>
      <c r="F117" s="11">
        <v>0.47614583333333332</v>
      </c>
      <c r="G117" s="9">
        <v>16.75</v>
      </c>
      <c r="H117" s="9">
        <v>16.75</v>
      </c>
      <c r="I117" s="9" t="s">
        <v>14</v>
      </c>
      <c r="J117" s="9" t="s">
        <v>21</v>
      </c>
      <c r="K117" s="9" t="s">
        <v>87</v>
      </c>
      <c r="L117" s="12" t="s">
        <v>88</v>
      </c>
    </row>
    <row r="118" spans="1:12" ht="43.8" thickBot="1" x14ac:dyDescent="0.35">
      <c r="A118" s="3">
        <v>117</v>
      </c>
      <c r="B118" s="4" t="s">
        <v>58</v>
      </c>
      <c r="C118" s="4" t="s">
        <v>290</v>
      </c>
      <c r="D118" s="4">
        <v>1</v>
      </c>
      <c r="E118" s="4" t="s">
        <v>289</v>
      </c>
      <c r="F118" s="6">
        <v>0.7784375</v>
      </c>
      <c r="G118" s="4">
        <v>17.95</v>
      </c>
      <c r="H118" s="4">
        <v>17.95</v>
      </c>
      <c r="I118" s="4" t="s">
        <v>20</v>
      </c>
      <c r="J118" s="4" t="s">
        <v>26</v>
      </c>
      <c r="K118" s="4" t="s">
        <v>60</v>
      </c>
      <c r="L118" s="7" t="s">
        <v>61</v>
      </c>
    </row>
    <row r="119" spans="1:12" ht="15" thickBot="1" x14ac:dyDescent="0.35">
      <c r="A119" s="8">
        <v>118</v>
      </c>
      <c r="B119" s="9" t="s">
        <v>102</v>
      </c>
      <c r="C119" s="9" t="s">
        <v>291</v>
      </c>
      <c r="D119" s="9">
        <v>1</v>
      </c>
      <c r="E119" s="9" t="s">
        <v>289</v>
      </c>
      <c r="F119" s="11">
        <v>0.80251157407407403</v>
      </c>
      <c r="G119" s="9">
        <v>9.75</v>
      </c>
      <c r="H119" s="9">
        <v>9.75</v>
      </c>
      <c r="I119" s="9" t="s">
        <v>45</v>
      </c>
      <c r="J119" s="9" t="s">
        <v>15</v>
      </c>
      <c r="K119" s="9" t="s">
        <v>41</v>
      </c>
      <c r="L119" s="12" t="s">
        <v>42</v>
      </c>
    </row>
    <row r="120" spans="1:12" ht="29.4" thickBot="1" x14ac:dyDescent="0.35">
      <c r="A120" s="3">
        <v>119</v>
      </c>
      <c r="B120" s="4" t="s">
        <v>69</v>
      </c>
      <c r="C120" s="4" t="s">
        <v>292</v>
      </c>
      <c r="D120" s="4">
        <v>1</v>
      </c>
      <c r="E120" s="4" t="s">
        <v>293</v>
      </c>
      <c r="F120" s="6">
        <v>0.58104166666666668</v>
      </c>
      <c r="G120" s="4">
        <v>20.75</v>
      </c>
      <c r="H120" s="4">
        <v>20.75</v>
      </c>
      <c r="I120" s="4" t="s">
        <v>20</v>
      </c>
      <c r="J120" s="4" t="s">
        <v>31</v>
      </c>
      <c r="K120" s="4" t="s">
        <v>71</v>
      </c>
      <c r="L120" s="7" t="s">
        <v>72</v>
      </c>
    </row>
    <row r="121" spans="1:12" ht="43.8" thickBot="1" x14ac:dyDescent="0.35">
      <c r="A121" s="8">
        <v>120</v>
      </c>
      <c r="B121" s="9" t="s">
        <v>24</v>
      </c>
      <c r="C121" s="9" t="s">
        <v>294</v>
      </c>
      <c r="D121" s="9">
        <v>1</v>
      </c>
      <c r="E121" s="9" t="s">
        <v>293</v>
      </c>
      <c r="F121" s="11">
        <v>0.62450231481481477</v>
      </c>
      <c r="G121" s="9">
        <v>18.5</v>
      </c>
      <c r="H121" s="9">
        <v>18.5</v>
      </c>
      <c r="I121" s="9" t="s">
        <v>20</v>
      </c>
      <c r="J121" s="9" t="s">
        <v>26</v>
      </c>
      <c r="K121" s="9" t="s">
        <v>27</v>
      </c>
      <c r="L121" s="12" t="s">
        <v>28</v>
      </c>
    </row>
    <row r="122" spans="1:12" ht="29.4" thickBot="1" x14ac:dyDescent="0.35">
      <c r="A122" s="3">
        <v>121</v>
      </c>
      <c r="B122" s="4" t="s">
        <v>295</v>
      </c>
      <c r="C122" s="4" t="s">
        <v>296</v>
      </c>
      <c r="D122" s="4">
        <v>1</v>
      </c>
      <c r="E122" s="4" t="s">
        <v>293</v>
      </c>
      <c r="F122" s="6">
        <v>0.7225462962962963</v>
      </c>
      <c r="G122" s="4">
        <v>16</v>
      </c>
      <c r="H122" s="4">
        <v>16</v>
      </c>
      <c r="I122" s="4" t="s">
        <v>14</v>
      </c>
      <c r="J122" s="4" t="s">
        <v>15</v>
      </c>
      <c r="K122" s="4" t="s">
        <v>206</v>
      </c>
      <c r="L122" s="7" t="s">
        <v>207</v>
      </c>
    </row>
    <row r="123" spans="1:12" ht="29.4" thickBot="1" x14ac:dyDescent="0.35">
      <c r="A123" s="8">
        <v>122</v>
      </c>
      <c r="B123" s="9" t="s">
        <v>297</v>
      </c>
      <c r="C123" s="9" t="s">
        <v>298</v>
      </c>
      <c r="D123" s="9">
        <v>1</v>
      </c>
      <c r="E123" s="9" t="s">
        <v>299</v>
      </c>
      <c r="F123" s="11">
        <v>0.66634259259259254</v>
      </c>
      <c r="G123" s="9">
        <v>16.75</v>
      </c>
      <c r="H123" s="9">
        <v>16.75</v>
      </c>
      <c r="I123" s="9" t="s">
        <v>14</v>
      </c>
      <c r="J123" s="9" t="s">
        <v>21</v>
      </c>
      <c r="K123" s="9" t="s">
        <v>22</v>
      </c>
      <c r="L123" s="12" t="s">
        <v>23</v>
      </c>
    </row>
    <row r="124" spans="1:12" ht="29.4" thickBot="1" x14ac:dyDescent="0.35">
      <c r="A124" s="3">
        <v>123</v>
      </c>
      <c r="B124" s="4" t="s">
        <v>228</v>
      </c>
      <c r="C124" s="4" t="s">
        <v>300</v>
      </c>
      <c r="D124" s="4">
        <v>1</v>
      </c>
      <c r="E124" s="4" t="s">
        <v>301</v>
      </c>
      <c r="F124" s="6">
        <v>0.61872685185185183</v>
      </c>
      <c r="G124" s="4">
        <v>16.5</v>
      </c>
      <c r="H124" s="4">
        <v>16.5</v>
      </c>
      <c r="I124" s="4" t="s">
        <v>14</v>
      </c>
      <c r="J124" s="4" t="s">
        <v>31</v>
      </c>
      <c r="K124" s="4" t="s">
        <v>50</v>
      </c>
      <c r="L124" s="7" t="s">
        <v>51</v>
      </c>
    </row>
    <row r="125" spans="1:12" ht="29.4" thickBot="1" x14ac:dyDescent="0.35">
      <c r="A125" s="8">
        <v>124</v>
      </c>
      <c r="B125" s="9" t="s">
        <v>173</v>
      </c>
      <c r="C125" s="9" t="s">
        <v>302</v>
      </c>
      <c r="D125" s="9">
        <v>1</v>
      </c>
      <c r="E125" s="9" t="s">
        <v>303</v>
      </c>
      <c r="F125" s="11">
        <v>0.71809027777777779</v>
      </c>
      <c r="G125" s="9">
        <v>16.25</v>
      </c>
      <c r="H125" s="9">
        <v>16.25</v>
      </c>
      <c r="I125" s="9" t="s">
        <v>14</v>
      </c>
      <c r="J125" s="9" t="s">
        <v>31</v>
      </c>
      <c r="K125" s="9" t="s">
        <v>80</v>
      </c>
      <c r="L125" s="12" t="s">
        <v>81</v>
      </c>
    </row>
    <row r="126" spans="1:12" ht="29.4" thickBot="1" x14ac:dyDescent="0.35">
      <c r="A126" s="3">
        <v>125</v>
      </c>
      <c r="B126" s="4" t="s">
        <v>266</v>
      </c>
      <c r="C126" s="4" t="s">
        <v>304</v>
      </c>
      <c r="D126" s="4">
        <v>1</v>
      </c>
      <c r="E126" s="4" t="s">
        <v>303</v>
      </c>
      <c r="F126" s="6">
        <v>0.74701388888888887</v>
      </c>
      <c r="G126" s="4">
        <v>20.25</v>
      </c>
      <c r="H126" s="4">
        <v>20.25</v>
      </c>
      <c r="I126" s="4" t="s">
        <v>20</v>
      </c>
      <c r="J126" s="4" t="s">
        <v>26</v>
      </c>
      <c r="K126" s="4" t="s">
        <v>138</v>
      </c>
      <c r="L126" s="7" t="s">
        <v>139</v>
      </c>
    </row>
    <row r="127" spans="1:12" ht="29.4" thickBot="1" x14ac:dyDescent="0.35">
      <c r="A127" s="8">
        <v>126</v>
      </c>
      <c r="B127" s="9" t="s">
        <v>112</v>
      </c>
      <c r="C127" s="9" t="s">
        <v>305</v>
      </c>
      <c r="D127" s="9">
        <v>1</v>
      </c>
      <c r="E127" s="9" t="s">
        <v>306</v>
      </c>
      <c r="F127" s="11">
        <v>0.52233796296296298</v>
      </c>
      <c r="G127" s="9">
        <v>20.75</v>
      </c>
      <c r="H127" s="9">
        <v>20.75</v>
      </c>
      <c r="I127" s="9" t="s">
        <v>20</v>
      </c>
      <c r="J127" s="9" t="s">
        <v>21</v>
      </c>
      <c r="K127" s="9" t="s">
        <v>115</v>
      </c>
      <c r="L127" s="12" t="s">
        <v>116</v>
      </c>
    </row>
    <row r="128" spans="1:12" ht="29.4" thickBot="1" x14ac:dyDescent="0.35">
      <c r="A128" s="3">
        <v>127</v>
      </c>
      <c r="B128" s="4" t="s">
        <v>73</v>
      </c>
      <c r="C128" s="4" t="s">
        <v>307</v>
      </c>
      <c r="D128" s="4">
        <v>1</v>
      </c>
      <c r="E128" s="4" t="s">
        <v>306</v>
      </c>
      <c r="F128" s="6">
        <v>0.60289351851851847</v>
      </c>
      <c r="G128" s="4">
        <v>16.75</v>
      </c>
      <c r="H128" s="4">
        <v>16.75</v>
      </c>
      <c r="I128" s="4" t="s">
        <v>14</v>
      </c>
      <c r="J128" s="4" t="s">
        <v>26</v>
      </c>
      <c r="K128" s="4" t="s">
        <v>75</v>
      </c>
      <c r="L128" s="7" t="s">
        <v>76</v>
      </c>
    </row>
    <row r="129" spans="1:12" ht="29.4" thickBot="1" x14ac:dyDescent="0.35">
      <c r="A129" s="8">
        <v>128</v>
      </c>
      <c r="B129" s="9" t="s">
        <v>256</v>
      </c>
      <c r="C129" s="9" t="s">
        <v>308</v>
      </c>
      <c r="D129" s="9">
        <v>1</v>
      </c>
      <c r="E129" s="9" t="s">
        <v>309</v>
      </c>
      <c r="F129" s="11">
        <v>0.50614583333333329</v>
      </c>
      <c r="G129" s="9">
        <v>16.25</v>
      </c>
      <c r="H129" s="9">
        <v>16.25</v>
      </c>
      <c r="I129" s="9" t="s">
        <v>14</v>
      </c>
      <c r="J129" s="9" t="s">
        <v>31</v>
      </c>
      <c r="K129" s="9" t="s">
        <v>164</v>
      </c>
      <c r="L129" s="12" t="s">
        <v>165</v>
      </c>
    </row>
    <row r="130" spans="1:12" ht="29.4" thickBot="1" x14ac:dyDescent="0.35">
      <c r="A130" s="3">
        <v>129</v>
      </c>
      <c r="B130" s="4" t="s">
        <v>310</v>
      </c>
      <c r="C130" s="4" t="s">
        <v>311</v>
      </c>
      <c r="D130" s="4">
        <v>1</v>
      </c>
      <c r="E130" s="4" t="s">
        <v>312</v>
      </c>
      <c r="F130" s="6">
        <v>0.54206018518518517</v>
      </c>
      <c r="G130" s="4">
        <v>12</v>
      </c>
      <c r="H130" s="4">
        <v>12</v>
      </c>
      <c r="I130" s="4" t="s">
        <v>45</v>
      </c>
      <c r="J130" s="4" t="s">
        <v>26</v>
      </c>
      <c r="K130" s="4" t="s">
        <v>313</v>
      </c>
      <c r="L130" s="7" t="s">
        <v>314</v>
      </c>
    </row>
    <row r="131" spans="1:12" ht="43.8" thickBot="1" x14ac:dyDescent="0.35">
      <c r="A131" s="8">
        <v>130</v>
      </c>
      <c r="B131" s="9" t="s">
        <v>184</v>
      </c>
      <c r="C131" s="9" t="s">
        <v>315</v>
      </c>
      <c r="D131" s="9">
        <v>1</v>
      </c>
      <c r="E131" s="10">
        <v>42009</v>
      </c>
      <c r="F131" s="11">
        <v>0.66314814814814815</v>
      </c>
      <c r="G131" s="9">
        <v>20.75</v>
      </c>
      <c r="H131" s="9">
        <v>20.75</v>
      </c>
      <c r="I131" s="9" t="s">
        <v>20</v>
      </c>
      <c r="J131" s="9" t="s">
        <v>21</v>
      </c>
      <c r="K131" s="9" t="s">
        <v>100</v>
      </c>
      <c r="L131" s="12" t="s">
        <v>101</v>
      </c>
    </row>
    <row r="132" spans="1:12" ht="29.4" thickBot="1" x14ac:dyDescent="0.35">
      <c r="A132" s="3">
        <v>131</v>
      </c>
      <c r="B132" s="4" t="s">
        <v>195</v>
      </c>
      <c r="C132" s="4" t="s">
        <v>316</v>
      </c>
      <c r="D132" s="4">
        <v>4</v>
      </c>
      <c r="E132" s="5">
        <v>42009</v>
      </c>
      <c r="F132" s="6">
        <v>0.81172453703703706</v>
      </c>
      <c r="G132" s="4">
        <v>12</v>
      </c>
      <c r="H132" s="4">
        <v>48</v>
      </c>
      <c r="I132" s="4" t="s">
        <v>45</v>
      </c>
      <c r="J132" s="4" t="s">
        <v>15</v>
      </c>
      <c r="K132" s="4" t="s">
        <v>198</v>
      </c>
      <c r="L132" s="7" t="s">
        <v>199</v>
      </c>
    </row>
    <row r="133" spans="1:12" ht="15" thickBot="1" x14ac:dyDescent="0.35">
      <c r="A133" s="8">
        <v>132</v>
      </c>
      <c r="B133" s="9" t="s">
        <v>317</v>
      </c>
      <c r="C133" s="9" t="s">
        <v>318</v>
      </c>
      <c r="D133" s="9">
        <v>1</v>
      </c>
      <c r="E133" s="10">
        <v>42129</v>
      </c>
      <c r="F133" s="11">
        <v>0.54861111111111116</v>
      </c>
      <c r="G133" s="9">
        <v>12.5</v>
      </c>
      <c r="H133" s="9">
        <v>12.5</v>
      </c>
      <c r="I133" s="9" t="s">
        <v>14</v>
      </c>
      <c r="J133" s="9" t="s">
        <v>15</v>
      </c>
      <c r="K133" s="9" t="s">
        <v>41</v>
      </c>
      <c r="L133" s="12" t="s">
        <v>42</v>
      </c>
    </row>
    <row r="134" spans="1:12" ht="15" thickBot="1" x14ac:dyDescent="0.35">
      <c r="A134" s="3">
        <v>133</v>
      </c>
      <c r="B134" s="4" t="s">
        <v>142</v>
      </c>
      <c r="C134" s="4" t="s">
        <v>319</v>
      </c>
      <c r="D134" s="4">
        <v>1</v>
      </c>
      <c r="E134" s="5">
        <v>42129</v>
      </c>
      <c r="F134" s="6">
        <v>0.71506944444444442</v>
      </c>
      <c r="G134" s="4">
        <v>10.5</v>
      </c>
      <c r="H134" s="4">
        <v>10.5</v>
      </c>
      <c r="I134" s="4" t="s">
        <v>45</v>
      </c>
      <c r="J134" s="4" t="s">
        <v>15</v>
      </c>
      <c r="K134" s="4" t="s">
        <v>120</v>
      </c>
      <c r="L134" s="7" t="s">
        <v>121</v>
      </c>
    </row>
    <row r="135" spans="1:12" ht="29.4" thickBot="1" x14ac:dyDescent="0.35">
      <c r="A135" s="8">
        <v>134</v>
      </c>
      <c r="B135" s="9" t="s">
        <v>195</v>
      </c>
      <c r="C135" s="9" t="s">
        <v>320</v>
      </c>
      <c r="D135" s="9">
        <v>1</v>
      </c>
      <c r="E135" s="10">
        <v>42160</v>
      </c>
      <c r="F135" s="11">
        <v>0.68399305555555556</v>
      </c>
      <c r="G135" s="9">
        <v>12</v>
      </c>
      <c r="H135" s="9">
        <v>12</v>
      </c>
      <c r="I135" s="9" t="s">
        <v>45</v>
      </c>
      <c r="J135" s="9" t="s">
        <v>15</v>
      </c>
      <c r="K135" s="9" t="s">
        <v>198</v>
      </c>
      <c r="L135" s="12" t="s">
        <v>199</v>
      </c>
    </row>
    <row r="136" spans="1:12" ht="15" thickBot="1" x14ac:dyDescent="0.35">
      <c r="A136" s="3">
        <v>135</v>
      </c>
      <c r="B136" s="4" t="s">
        <v>102</v>
      </c>
      <c r="C136" s="4" t="s">
        <v>321</v>
      </c>
      <c r="D136" s="4">
        <v>1</v>
      </c>
      <c r="E136" s="5">
        <v>42221</v>
      </c>
      <c r="F136" s="6">
        <v>0.52226851851851852</v>
      </c>
      <c r="G136" s="4">
        <v>9.75</v>
      </c>
      <c r="H136" s="4">
        <v>9.75</v>
      </c>
      <c r="I136" s="4" t="s">
        <v>45</v>
      </c>
      <c r="J136" s="4" t="s">
        <v>15</v>
      </c>
      <c r="K136" s="4" t="s">
        <v>41</v>
      </c>
      <c r="L136" s="7" t="s">
        <v>42</v>
      </c>
    </row>
    <row r="137" spans="1:12" ht="29.4" thickBot="1" x14ac:dyDescent="0.35">
      <c r="A137" s="8">
        <v>136</v>
      </c>
      <c r="B137" s="9" t="s">
        <v>29</v>
      </c>
      <c r="C137" s="9" t="s">
        <v>322</v>
      </c>
      <c r="D137" s="9">
        <v>1</v>
      </c>
      <c r="E137" s="10">
        <v>42221</v>
      </c>
      <c r="F137" s="11">
        <v>0.72335648148148146</v>
      </c>
      <c r="G137" s="9">
        <v>20.75</v>
      </c>
      <c r="H137" s="9">
        <v>20.75</v>
      </c>
      <c r="I137" s="9" t="s">
        <v>20</v>
      </c>
      <c r="J137" s="9" t="s">
        <v>31</v>
      </c>
      <c r="K137" s="9" t="s">
        <v>32</v>
      </c>
      <c r="L137" s="12" t="s">
        <v>33</v>
      </c>
    </row>
    <row r="138" spans="1:12" ht="29.4" thickBot="1" x14ac:dyDescent="0.35">
      <c r="A138" s="3">
        <v>137</v>
      </c>
      <c r="B138" s="4" t="s">
        <v>323</v>
      </c>
      <c r="C138" s="4" t="s">
        <v>324</v>
      </c>
      <c r="D138" s="4">
        <v>1</v>
      </c>
      <c r="E138" s="5">
        <v>42252</v>
      </c>
      <c r="F138" s="6">
        <v>0.65552083333333333</v>
      </c>
      <c r="G138" s="4">
        <v>16</v>
      </c>
      <c r="H138" s="4">
        <v>16</v>
      </c>
      <c r="I138" s="4" t="s">
        <v>14</v>
      </c>
      <c r="J138" s="4" t="s">
        <v>15</v>
      </c>
      <c r="K138" s="4" t="s">
        <v>210</v>
      </c>
      <c r="L138" s="7" t="s">
        <v>211</v>
      </c>
    </row>
    <row r="139" spans="1:12" ht="43.8" thickBot="1" x14ac:dyDescent="0.35">
      <c r="A139" s="8">
        <v>138</v>
      </c>
      <c r="B139" s="9" t="s">
        <v>125</v>
      </c>
      <c r="C139" s="9" t="s">
        <v>325</v>
      </c>
      <c r="D139" s="9">
        <v>1</v>
      </c>
      <c r="E139" s="10">
        <v>42252</v>
      </c>
      <c r="F139" s="11">
        <v>0.73304398148148153</v>
      </c>
      <c r="G139" s="9">
        <v>20.75</v>
      </c>
      <c r="H139" s="9">
        <v>20.75</v>
      </c>
      <c r="I139" s="9" t="s">
        <v>20</v>
      </c>
      <c r="J139" s="9" t="s">
        <v>21</v>
      </c>
      <c r="K139" s="9" t="s">
        <v>87</v>
      </c>
      <c r="L139" s="12" t="s">
        <v>88</v>
      </c>
    </row>
    <row r="140" spans="1:12" ht="29.4" thickBot="1" x14ac:dyDescent="0.35">
      <c r="A140" s="3">
        <v>139</v>
      </c>
      <c r="B140" s="4" t="s">
        <v>201</v>
      </c>
      <c r="C140" s="4" t="s">
        <v>326</v>
      </c>
      <c r="D140" s="4">
        <v>1</v>
      </c>
      <c r="E140" s="5">
        <v>42252</v>
      </c>
      <c r="F140" s="6">
        <v>0.7575115740740741</v>
      </c>
      <c r="G140" s="4">
        <v>12</v>
      </c>
      <c r="H140" s="4">
        <v>12</v>
      </c>
      <c r="I140" s="4" t="s">
        <v>45</v>
      </c>
      <c r="J140" s="4" t="s">
        <v>15</v>
      </c>
      <c r="K140" s="4" t="s">
        <v>16</v>
      </c>
      <c r="L140" s="7" t="s">
        <v>17</v>
      </c>
    </row>
    <row r="141" spans="1:12" ht="43.8" thickBot="1" x14ac:dyDescent="0.35">
      <c r="A141" s="8">
        <v>140</v>
      </c>
      <c r="B141" s="9" t="s">
        <v>58</v>
      </c>
      <c r="C141" s="9" t="s">
        <v>327</v>
      </c>
      <c r="D141" s="9">
        <v>1</v>
      </c>
      <c r="E141" s="10">
        <v>42282</v>
      </c>
      <c r="F141" s="11">
        <v>0.6448842592592593</v>
      </c>
      <c r="G141" s="9">
        <v>17.95</v>
      </c>
      <c r="H141" s="9">
        <v>17.95</v>
      </c>
      <c r="I141" s="9" t="s">
        <v>20</v>
      </c>
      <c r="J141" s="9" t="s">
        <v>26</v>
      </c>
      <c r="K141" s="9" t="s">
        <v>60</v>
      </c>
      <c r="L141" s="12" t="s">
        <v>61</v>
      </c>
    </row>
    <row r="142" spans="1:12" ht="29.4" thickBot="1" x14ac:dyDescent="0.35">
      <c r="A142" s="3">
        <v>141</v>
      </c>
      <c r="B142" s="4" t="s">
        <v>297</v>
      </c>
      <c r="C142" s="4" t="s">
        <v>328</v>
      </c>
      <c r="D142" s="4">
        <v>1</v>
      </c>
      <c r="E142" s="5">
        <v>42282</v>
      </c>
      <c r="F142" s="6">
        <v>0.70212962962962966</v>
      </c>
      <c r="G142" s="4">
        <v>16.75</v>
      </c>
      <c r="H142" s="4">
        <v>16.75</v>
      </c>
      <c r="I142" s="4" t="s">
        <v>14</v>
      </c>
      <c r="J142" s="4" t="s">
        <v>21</v>
      </c>
      <c r="K142" s="4" t="s">
        <v>22</v>
      </c>
      <c r="L142" s="7" t="s">
        <v>23</v>
      </c>
    </row>
    <row r="143" spans="1:12" ht="43.8" thickBot="1" x14ac:dyDescent="0.35">
      <c r="A143" s="8">
        <v>142</v>
      </c>
      <c r="B143" s="9" t="s">
        <v>329</v>
      </c>
      <c r="C143" s="9" t="s">
        <v>330</v>
      </c>
      <c r="D143" s="9">
        <v>1</v>
      </c>
      <c r="E143" s="10">
        <v>42282</v>
      </c>
      <c r="F143" s="11">
        <v>0.73978009259259259</v>
      </c>
      <c r="G143" s="9">
        <v>12</v>
      </c>
      <c r="H143" s="9">
        <v>12</v>
      </c>
      <c r="I143" s="9" t="s">
        <v>45</v>
      </c>
      <c r="J143" s="9" t="s">
        <v>26</v>
      </c>
      <c r="K143" s="9" t="s">
        <v>108</v>
      </c>
      <c r="L143" s="12" t="s">
        <v>109</v>
      </c>
    </row>
    <row r="144" spans="1:12" ht="43.8" thickBot="1" x14ac:dyDescent="0.35">
      <c r="A144" s="3">
        <v>143</v>
      </c>
      <c r="B144" s="4" t="s">
        <v>133</v>
      </c>
      <c r="C144" s="4" t="s">
        <v>331</v>
      </c>
      <c r="D144" s="4">
        <v>1</v>
      </c>
      <c r="E144" s="5">
        <v>42282</v>
      </c>
      <c r="F144" s="6">
        <v>0.74092592592592588</v>
      </c>
      <c r="G144" s="4">
        <v>16</v>
      </c>
      <c r="H144" s="4">
        <v>16</v>
      </c>
      <c r="I144" s="4" t="s">
        <v>14</v>
      </c>
      <c r="J144" s="4" t="s">
        <v>26</v>
      </c>
      <c r="K144" s="4" t="s">
        <v>56</v>
      </c>
      <c r="L144" s="7" t="s">
        <v>57</v>
      </c>
    </row>
    <row r="145" spans="1:12" ht="29.4" thickBot="1" x14ac:dyDescent="0.35">
      <c r="A145" s="8">
        <v>144</v>
      </c>
      <c r="B145" s="9" t="s">
        <v>179</v>
      </c>
      <c r="C145" s="9" t="s">
        <v>332</v>
      </c>
      <c r="D145" s="9">
        <v>1</v>
      </c>
      <c r="E145" s="10">
        <v>42282</v>
      </c>
      <c r="F145" s="11">
        <v>0.74092592592592588</v>
      </c>
      <c r="G145" s="9">
        <v>20.75</v>
      </c>
      <c r="H145" s="9">
        <v>20.75</v>
      </c>
      <c r="I145" s="9" t="s">
        <v>20</v>
      </c>
      <c r="J145" s="9" t="s">
        <v>31</v>
      </c>
      <c r="K145" s="9" t="s">
        <v>46</v>
      </c>
      <c r="L145" s="12" t="s">
        <v>47</v>
      </c>
    </row>
    <row r="146" spans="1:12" ht="15" thickBot="1" x14ac:dyDescent="0.35">
      <c r="A146" s="3">
        <v>145</v>
      </c>
      <c r="B146" s="4" t="s">
        <v>102</v>
      </c>
      <c r="C146" s="4" t="s">
        <v>333</v>
      </c>
      <c r="D146" s="4">
        <v>1</v>
      </c>
      <c r="E146" s="5">
        <v>42282</v>
      </c>
      <c r="F146" s="6">
        <v>0.74222222222222223</v>
      </c>
      <c r="G146" s="4">
        <v>9.75</v>
      </c>
      <c r="H146" s="4">
        <v>9.75</v>
      </c>
      <c r="I146" s="4" t="s">
        <v>45</v>
      </c>
      <c r="J146" s="4" t="s">
        <v>15</v>
      </c>
      <c r="K146" s="4" t="s">
        <v>41</v>
      </c>
      <c r="L146" s="7" t="s">
        <v>42</v>
      </c>
    </row>
    <row r="147" spans="1:12" ht="43.8" thickBot="1" x14ac:dyDescent="0.35">
      <c r="A147" s="8">
        <v>146</v>
      </c>
      <c r="B147" s="9" t="s">
        <v>58</v>
      </c>
      <c r="C147" s="9" t="s">
        <v>334</v>
      </c>
      <c r="D147" s="9">
        <v>1</v>
      </c>
      <c r="E147" s="10">
        <v>42282</v>
      </c>
      <c r="F147" s="11">
        <v>0.84168981481481486</v>
      </c>
      <c r="G147" s="9">
        <v>17.95</v>
      </c>
      <c r="H147" s="9">
        <v>17.95</v>
      </c>
      <c r="I147" s="9" t="s">
        <v>20</v>
      </c>
      <c r="J147" s="9" t="s">
        <v>26</v>
      </c>
      <c r="K147" s="9" t="s">
        <v>60</v>
      </c>
      <c r="L147" s="12" t="s">
        <v>61</v>
      </c>
    </row>
    <row r="148" spans="1:12" ht="29.4" thickBot="1" x14ac:dyDescent="0.35">
      <c r="A148" s="3">
        <v>147</v>
      </c>
      <c r="B148" s="4" t="s">
        <v>34</v>
      </c>
      <c r="C148" s="4" t="s">
        <v>304</v>
      </c>
      <c r="D148" s="4">
        <v>1</v>
      </c>
      <c r="E148" s="5">
        <v>42313</v>
      </c>
      <c r="F148" s="6">
        <v>0.73590277777777779</v>
      </c>
      <c r="G148" s="4">
        <v>25.5</v>
      </c>
      <c r="H148" s="4">
        <v>25.5</v>
      </c>
      <c r="I148" s="4" t="s">
        <v>36</v>
      </c>
      <c r="J148" s="4" t="s">
        <v>15</v>
      </c>
      <c r="K148" s="4" t="s">
        <v>37</v>
      </c>
      <c r="L148" s="7" t="s">
        <v>38</v>
      </c>
    </row>
    <row r="149" spans="1:12" ht="43.8" thickBot="1" x14ac:dyDescent="0.35">
      <c r="A149" s="8">
        <v>148</v>
      </c>
      <c r="B149" s="9" t="s">
        <v>24</v>
      </c>
      <c r="C149" s="9" t="s">
        <v>335</v>
      </c>
      <c r="D149" s="9">
        <v>1</v>
      </c>
      <c r="E149" s="10">
        <v>42313</v>
      </c>
      <c r="F149" s="11">
        <v>0.75343749999999998</v>
      </c>
      <c r="G149" s="9">
        <v>18.5</v>
      </c>
      <c r="H149" s="9">
        <v>18.5</v>
      </c>
      <c r="I149" s="9" t="s">
        <v>20</v>
      </c>
      <c r="J149" s="9" t="s">
        <v>26</v>
      </c>
      <c r="K149" s="9" t="s">
        <v>27</v>
      </c>
      <c r="L149" s="12" t="s">
        <v>28</v>
      </c>
    </row>
    <row r="150" spans="1:12" ht="43.8" thickBot="1" x14ac:dyDescent="0.35">
      <c r="A150" s="3">
        <v>149</v>
      </c>
      <c r="B150" s="4" t="s">
        <v>97</v>
      </c>
      <c r="C150" s="4" t="s">
        <v>336</v>
      </c>
      <c r="D150" s="4">
        <v>1</v>
      </c>
      <c r="E150" s="5">
        <v>42313</v>
      </c>
      <c r="F150" s="6">
        <v>0.80596064814814816</v>
      </c>
      <c r="G150" s="4">
        <v>12.75</v>
      </c>
      <c r="H150" s="4">
        <v>12.75</v>
      </c>
      <c r="I150" s="4" t="s">
        <v>45</v>
      </c>
      <c r="J150" s="4" t="s">
        <v>21</v>
      </c>
      <c r="K150" s="4" t="s">
        <v>100</v>
      </c>
      <c r="L150" s="7" t="s">
        <v>101</v>
      </c>
    </row>
    <row r="151" spans="1:12" ht="29.4" thickBot="1" x14ac:dyDescent="0.35">
      <c r="A151" s="8">
        <v>150</v>
      </c>
      <c r="B151" s="9" t="s">
        <v>48</v>
      </c>
      <c r="C151" s="9" t="s">
        <v>337</v>
      </c>
      <c r="D151" s="9">
        <v>1</v>
      </c>
      <c r="E151" s="10">
        <v>42343</v>
      </c>
      <c r="F151" s="11">
        <v>0.55118055555555556</v>
      </c>
      <c r="G151" s="9">
        <v>20.75</v>
      </c>
      <c r="H151" s="9">
        <v>20.75</v>
      </c>
      <c r="I151" s="9" t="s">
        <v>20</v>
      </c>
      <c r="J151" s="9" t="s">
        <v>31</v>
      </c>
      <c r="K151" s="9" t="s">
        <v>50</v>
      </c>
      <c r="L151" s="12" t="s">
        <v>51</v>
      </c>
    </row>
    <row r="152" spans="1:12" ht="15" thickBot="1" x14ac:dyDescent="0.35">
      <c r="A152" s="3">
        <v>151</v>
      </c>
      <c r="B152" s="4" t="s">
        <v>117</v>
      </c>
      <c r="C152" s="4" t="s">
        <v>338</v>
      </c>
      <c r="D152" s="4">
        <v>1</v>
      </c>
      <c r="E152" s="5">
        <v>42343</v>
      </c>
      <c r="F152" s="6">
        <v>0.76509259259259255</v>
      </c>
      <c r="G152" s="4">
        <v>16.5</v>
      </c>
      <c r="H152" s="4">
        <v>16.5</v>
      </c>
      <c r="I152" s="4" t="s">
        <v>20</v>
      </c>
      <c r="J152" s="4" t="s">
        <v>15</v>
      </c>
      <c r="K152" s="4" t="s">
        <v>120</v>
      </c>
      <c r="L152" s="7" t="s">
        <v>121</v>
      </c>
    </row>
    <row r="153" spans="1:12" ht="29.4" thickBot="1" x14ac:dyDescent="0.35">
      <c r="A153" s="8">
        <v>152</v>
      </c>
      <c r="B153" s="9" t="s">
        <v>339</v>
      </c>
      <c r="C153" s="9" t="s">
        <v>340</v>
      </c>
      <c r="D153" s="9">
        <v>1</v>
      </c>
      <c r="E153" s="9" t="s">
        <v>341</v>
      </c>
      <c r="F153" s="11">
        <v>0.54464120370370372</v>
      </c>
      <c r="G153" s="9">
        <v>12.75</v>
      </c>
      <c r="H153" s="9">
        <v>12.75</v>
      </c>
      <c r="I153" s="9" t="s">
        <v>45</v>
      </c>
      <c r="J153" s="9" t="s">
        <v>21</v>
      </c>
      <c r="K153" s="9" t="s">
        <v>22</v>
      </c>
      <c r="L153" s="12" t="s">
        <v>23</v>
      </c>
    </row>
    <row r="154" spans="1:12" ht="29.4" thickBot="1" x14ac:dyDescent="0.35">
      <c r="A154" s="3">
        <v>153</v>
      </c>
      <c r="B154" s="4" t="s">
        <v>12</v>
      </c>
      <c r="C154" s="4" t="s">
        <v>342</v>
      </c>
      <c r="D154" s="4">
        <v>1</v>
      </c>
      <c r="E154" s="4" t="s">
        <v>341</v>
      </c>
      <c r="F154" s="6">
        <v>0.55996527777777783</v>
      </c>
      <c r="G154" s="4">
        <v>16</v>
      </c>
      <c r="H154" s="4">
        <v>16</v>
      </c>
      <c r="I154" s="4" t="s">
        <v>14</v>
      </c>
      <c r="J154" s="4" t="s">
        <v>15</v>
      </c>
      <c r="K154" s="4" t="s">
        <v>16</v>
      </c>
      <c r="L154" s="7" t="s">
        <v>17</v>
      </c>
    </row>
    <row r="155" spans="1:12" ht="43.8" thickBot="1" x14ac:dyDescent="0.35">
      <c r="A155" s="8">
        <v>154</v>
      </c>
      <c r="B155" s="9" t="s">
        <v>275</v>
      </c>
      <c r="C155" s="9" t="s">
        <v>343</v>
      </c>
      <c r="D155" s="9">
        <v>1</v>
      </c>
      <c r="E155" s="9" t="s">
        <v>341</v>
      </c>
      <c r="F155" s="11">
        <v>0.56137731481481479</v>
      </c>
      <c r="G155" s="9">
        <v>20.25</v>
      </c>
      <c r="H155" s="9">
        <v>20.25</v>
      </c>
      <c r="I155" s="9" t="s">
        <v>20</v>
      </c>
      <c r="J155" s="9" t="s">
        <v>26</v>
      </c>
      <c r="K155" s="9" t="s">
        <v>56</v>
      </c>
      <c r="L155" s="12" t="s">
        <v>57</v>
      </c>
    </row>
    <row r="156" spans="1:12" ht="29.4" thickBot="1" x14ac:dyDescent="0.35">
      <c r="A156" s="3">
        <v>155</v>
      </c>
      <c r="B156" s="4" t="s">
        <v>344</v>
      </c>
      <c r="C156" s="4" t="s">
        <v>209</v>
      </c>
      <c r="D156" s="4">
        <v>1</v>
      </c>
      <c r="E156" s="4" t="s">
        <v>345</v>
      </c>
      <c r="F156" s="6">
        <v>0.62667824074074074</v>
      </c>
      <c r="G156" s="4">
        <v>16.5</v>
      </c>
      <c r="H156" s="4">
        <v>16.5</v>
      </c>
      <c r="I156" s="4" t="s">
        <v>14</v>
      </c>
      <c r="J156" s="4" t="s">
        <v>31</v>
      </c>
      <c r="K156" s="4" t="s">
        <v>32</v>
      </c>
      <c r="L156" s="7" t="s">
        <v>33</v>
      </c>
    </row>
    <row r="157" spans="1:12" ht="29.4" thickBot="1" x14ac:dyDescent="0.35">
      <c r="A157" s="8">
        <v>156</v>
      </c>
      <c r="B157" s="9" t="s">
        <v>154</v>
      </c>
      <c r="C157" s="9" t="s">
        <v>346</v>
      </c>
      <c r="D157" s="9">
        <v>1</v>
      </c>
      <c r="E157" s="9" t="s">
        <v>345</v>
      </c>
      <c r="F157" s="11">
        <v>0.83523148148148152</v>
      </c>
      <c r="G157" s="9">
        <v>20.75</v>
      </c>
      <c r="H157" s="9">
        <v>20.75</v>
      </c>
      <c r="I157" s="9" t="s">
        <v>20</v>
      </c>
      <c r="J157" s="9" t="s">
        <v>21</v>
      </c>
      <c r="K157" s="9" t="s">
        <v>156</v>
      </c>
      <c r="L157" s="12" t="s">
        <v>157</v>
      </c>
    </row>
    <row r="158" spans="1:12" ht="43.8" thickBot="1" x14ac:dyDescent="0.35">
      <c r="A158" s="3">
        <v>157</v>
      </c>
      <c r="B158" s="4" t="s">
        <v>347</v>
      </c>
      <c r="C158" s="4" t="s">
        <v>348</v>
      </c>
      <c r="D158" s="4">
        <v>1</v>
      </c>
      <c r="E158" s="4" t="s">
        <v>345</v>
      </c>
      <c r="F158" s="6">
        <v>0.86469907407407409</v>
      </c>
      <c r="G158" s="4">
        <v>16</v>
      </c>
      <c r="H158" s="4">
        <v>16</v>
      </c>
      <c r="I158" s="4" t="s">
        <v>14</v>
      </c>
      <c r="J158" s="4" t="s">
        <v>26</v>
      </c>
      <c r="K158" s="4" t="s">
        <v>108</v>
      </c>
      <c r="L158" s="7" t="s">
        <v>109</v>
      </c>
    </row>
    <row r="159" spans="1:12" ht="29.4" thickBot="1" x14ac:dyDescent="0.35">
      <c r="A159" s="8">
        <v>158</v>
      </c>
      <c r="B159" s="9" t="s">
        <v>154</v>
      </c>
      <c r="C159" s="9" t="s">
        <v>349</v>
      </c>
      <c r="D159" s="9">
        <v>1</v>
      </c>
      <c r="E159" s="9" t="s">
        <v>345</v>
      </c>
      <c r="F159" s="11">
        <v>0.88253472222222218</v>
      </c>
      <c r="G159" s="9">
        <v>20.75</v>
      </c>
      <c r="H159" s="9">
        <v>20.75</v>
      </c>
      <c r="I159" s="9" t="s">
        <v>20</v>
      </c>
      <c r="J159" s="9" t="s">
        <v>21</v>
      </c>
      <c r="K159" s="9" t="s">
        <v>156</v>
      </c>
      <c r="L159" s="12" t="s">
        <v>157</v>
      </c>
    </row>
    <row r="160" spans="1:12" ht="29.4" thickBot="1" x14ac:dyDescent="0.35">
      <c r="A160" s="3">
        <v>159</v>
      </c>
      <c r="B160" s="4" t="s">
        <v>266</v>
      </c>
      <c r="C160" s="4" t="s">
        <v>350</v>
      </c>
      <c r="D160" s="4">
        <v>1</v>
      </c>
      <c r="E160" s="4" t="s">
        <v>351</v>
      </c>
      <c r="F160" s="6">
        <v>0.5455092592592593</v>
      </c>
      <c r="G160" s="4">
        <v>20.25</v>
      </c>
      <c r="H160" s="4">
        <v>20.25</v>
      </c>
      <c r="I160" s="4" t="s">
        <v>20</v>
      </c>
      <c r="J160" s="4" t="s">
        <v>26</v>
      </c>
      <c r="K160" s="4" t="s">
        <v>138</v>
      </c>
      <c r="L160" s="7" t="s">
        <v>139</v>
      </c>
    </row>
    <row r="161" spans="1:12" ht="43.8" thickBot="1" x14ac:dyDescent="0.35">
      <c r="A161" s="8">
        <v>160</v>
      </c>
      <c r="B161" s="9" t="s">
        <v>58</v>
      </c>
      <c r="C161" s="9" t="s">
        <v>352</v>
      </c>
      <c r="D161" s="9">
        <v>1</v>
      </c>
      <c r="E161" s="9" t="s">
        <v>353</v>
      </c>
      <c r="F161" s="11">
        <v>0.48068287037037039</v>
      </c>
      <c r="G161" s="9">
        <v>17.95</v>
      </c>
      <c r="H161" s="9">
        <v>17.95</v>
      </c>
      <c r="I161" s="9" t="s">
        <v>20</v>
      </c>
      <c r="J161" s="9" t="s">
        <v>26</v>
      </c>
      <c r="K161" s="9" t="s">
        <v>60</v>
      </c>
      <c r="L161" s="12" t="s">
        <v>61</v>
      </c>
    </row>
    <row r="162" spans="1:12" ht="43.8" thickBot="1" x14ac:dyDescent="0.35">
      <c r="A162" s="3">
        <v>161</v>
      </c>
      <c r="B162" s="4" t="s">
        <v>275</v>
      </c>
      <c r="C162" s="4" t="s">
        <v>354</v>
      </c>
      <c r="D162" s="4">
        <v>1</v>
      </c>
      <c r="E162" s="4" t="s">
        <v>355</v>
      </c>
      <c r="F162" s="6">
        <v>0.56577546296296299</v>
      </c>
      <c r="G162" s="4">
        <v>20.25</v>
      </c>
      <c r="H162" s="4">
        <v>20.25</v>
      </c>
      <c r="I162" s="4" t="s">
        <v>20</v>
      </c>
      <c r="J162" s="4" t="s">
        <v>26</v>
      </c>
      <c r="K162" s="4" t="s">
        <v>56</v>
      </c>
      <c r="L162" s="7" t="s">
        <v>57</v>
      </c>
    </row>
    <row r="163" spans="1:12" ht="29.4" thickBot="1" x14ac:dyDescent="0.35">
      <c r="A163" s="8">
        <v>162</v>
      </c>
      <c r="B163" s="9" t="s">
        <v>112</v>
      </c>
      <c r="C163" s="9" t="s">
        <v>356</v>
      </c>
      <c r="D163" s="9">
        <v>1</v>
      </c>
      <c r="E163" s="9" t="s">
        <v>357</v>
      </c>
      <c r="F163" s="11">
        <v>0.65148148148148144</v>
      </c>
      <c r="G163" s="9">
        <v>20.75</v>
      </c>
      <c r="H163" s="9">
        <v>20.75</v>
      </c>
      <c r="I163" s="9" t="s">
        <v>20</v>
      </c>
      <c r="J163" s="9" t="s">
        <v>21</v>
      </c>
      <c r="K163" s="9" t="s">
        <v>115</v>
      </c>
      <c r="L163" s="12" t="s">
        <v>116</v>
      </c>
    </row>
    <row r="164" spans="1:12" ht="29.4" thickBot="1" x14ac:dyDescent="0.35">
      <c r="A164" s="3">
        <v>163</v>
      </c>
      <c r="B164" s="4" t="s">
        <v>204</v>
      </c>
      <c r="C164" s="4" t="s">
        <v>358</v>
      </c>
      <c r="D164" s="4">
        <v>1</v>
      </c>
      <c r="E164" s="4" t="s">
        <v>359</v>
      </c>
      <c r="F164" s="6">
        <v>0.52598379629629632</v>
      </c>
      <c r="G164" s="4">
        <v>20.5</v>
      </c>
      <c r="H164" s="4">
        <v>20.5</v>
      </c>
      <c r="I164" s="4" t="s">
        <v>20</v>
      </c>
      <c r="J164" s="4" t="s">
        <v>15</v>
      </c>
      <c r="K164" s="4" t="s">
        <v>206</v>
      </c>
      <c r="L164" s="7" t="s">
        <v>207</v>
      </c>
    </row>
    <row r="165" spans="1:12" ht="29.4" thickBot="1" x14ac:dyDescent="0.35">
      <c r="A165" s="8">
        <v>164</v>
      </c>
      <c r="B165" s="9" t="s">
        <v>221</v>
      </c>
      <c r="C165" s="9" t="s">
        <v>113</v>
      </c>
      <c r="D165" s="9">
        <v>1</v>
      </c>
      <c r="E165" s="9" t="s">
        <v>359</v>
      </c>
      <c r="F165" s="11">
        <v>0.54483796296296294</v>
      </c>
      <c r="G165" s="9">
        <v>12</v>
      </c>
      <c r="H165" s="9">
        <v>12</v>
      </c>
      <c r="I165" s="9" t="s">
        <v>45</v>
      </c>
      <c r="J165" s="9" t="s">
        <v>26</v>
      </c>
      <c r="K165" s="9" t="s">
        <v>224</v>
      </c>
      <c r="L165" s="12" t="s">
        <v>225</v>
      </c>
    </row>
    <row r="166" spans="1:12" ht="43.8" thickBot="1" x14ac:dyDescent="0.35">
      <c r="A166" s="3">
        <v>165</v>
      </c>
      <c r="B166" s="4" t="s">
        <v>329</v>
      </c>
      <c r="C166" s="4" t="s">
        <v>360</v>
      </c>
      <c r="D166" s="4">
        <v>1</v>
      </c>
      <c r="E166" s="4" t="s">
        <v>359</v>
      </c>
      <c r="F166" s="6">
        <v>0.83712962962962967</v>
      </c>
      <c r="G166" s="4">
        <v>12</v>
      </c>
      <c r="H166" s="4">
        <v>12</v>
      </c>
      <c r="I166" s="4" t="s">
        <v>45</v>
      </c>
      <c r="J166" s="4" t="s">
        <v>26</v>
      </c>
      <c r="K166" s="4" t="s">
        <v>108</v>
      </c>
      <c r="L166" s="7" t="s">
        <v>109</v>
      </c>
    </row>
    <row r="167" spans="1:12" ht="29.4" thickBot="1" x14ac:dyDescent="0.35">
      <c r="A167" s="8">
        <v>166</v>
      </c>
      <c r="B167" s="9" t="s">
        <v>361</v>
      </c>
      <c r="C167" s="9" t="s">
        <v>30</v>
      </c>
      <c r="D167" s="9">
        <v>1</v>
      </c>
      <c r="E167" s="9" t="s">
        <v>362</v>
      </c>
      <c r="F167" s="11">
        <v>0.64146990740740739</v>
      </c>
      <c r="G167" s="9">
        <v>20.25</v>
      </c>
      <c r="H167" s="9">
        <v>20.25</v>
      </c>
      <c r="I167" s="9" t="s">
        <v>20</v>
      </c>
      <c r="J167" s="9" t="s">
        <v>26</v>
      </c>
      <c r="K167" s="9" t="s">
        <v>313</v>
      </c>
      <c r="L167" s="12" t="s">
        <v>314</v>
      </c>
    </row>
    <row r="168" spans="1:12" ht="29.4" thickBot="1" x14ac:dyDescent="0.35">
      <c r="A168" s="3">
        <v>167</v>
      </c>
      <c r="B168" s="4" t="s">
        <v>323</v>
      </c>
      <c r="C168" s="4" t="s">
        <v>363</v>
      </c>
      <c r="D168" s="4">
        <v>1</v>
      </c>
      <c r="E168" s="4" t="s">
        <v>364</v>
      </c>
      <c r="F168" s="6">
        <v>0.66631944444444446</v>
      </c>
      <c r="G168" s="4">
        <v>16</v>
      </c>
      <c r="H168" s="4">
        <v>16</v>
      </c>
      <c r="I168" s="4" t="s">
        <v>14</v>
      </c>
      <c r="J168" s="4" t="s">
        <v>15</v>
      </c>
      <c r="K168" s="4" t="s">
        <v>210</v>
      </c>
      <c r="L168" s="7" t="s">
        <v>211</v>
      </c>
    </row>
    <row r="169" spans="1:12" ht="29.4" thickBot="1" x14ac:dyDescent="0.35">
      <c r="A169" s="8">
        <v>168</v>
      </c>
      <c r="B169" s="9" t="s">
        <v>12</v>
      </c>
      <c r="C169" s="9" t="s">
        <v>365</v>
      </c>
      <c r="D169" s="9">
        <v>1</v>
      </c>
      <c r="E169" s="9" t="s">
        <v>364</v>
      </c>
      <c r="F169" s="11">
        <v>0.71209490740740744</v>
      </c>
      <c r="G169" s="9">
        <v>16</v>
      </c>
      <c r="H169" s="9">
        <v>16</v>
      </c>
      <c r="I169" s="9" t="s">
        <v>14</v>
      </c>
      <c r="J169" s="9" t="s">
        <v>15</v>
      </c>
      <c r="K169" s="9" t="s">
        <v>16</v>
      </c>
      <c r="L169" s="12" t="s">
        <v>17</v>
      </c>
    </row>
    <row r="170" spans="1:12" ht="43.8" thickBot="1" x14ac:dyDescent="0.35">
      <c r="A170" s="3">
        <v>169</v>
      </c>
      <c r="B170" s="4" t="s">
        <v>105</v>
      </c>
      <c r="C170" s="4" t="s">
        <v>366</v>
      </c>
      <c r="D170" s="4">
        <v>1</v>
      </c>
      <c r="E170" s="4" t="s">
        <v>367</v>
      </c>
      <c r="F170" s="6">
        <v>0.77277777777777779</v>
      </c>
      <c r="G170" s="4">
        <v>20.25</v>
      </c>
      <c r="H170" s="4">
        <v>20.25</v>
      </c>
      <c r="I170" s="4" t="s">
        <v>20</v>
      </c>
      <c r="J170" s="4" t="s">
        <v>26</v>
      </c>
      <c r="K170" s="4" t="s">
        <v>108</v>
      </c>
      <c r="L170" s="7" t="s">
        <v>109</v>
      </c>
    </row>
    <row r="171" spans="1:12" ht="29.4" thickBot="1" x14ac:dyDescent="0.35">
      <c r="A171" s="8">
        <v>170</v>
      </c>
      <c r="B171" s="9" t="s">
        <v>187</v>
      </c>
      <c r="C171" s="9" t="s">
        <v>368</v>
      </c>
      <c r="D171" s="9">
        <v>1</v>
      </c>
      <c r="E171" s="9" t="s">
        <v>367</v>
      </c>
      <c r="F171" s="11">
        <v>0.93371527777777774</v>
      </c>
      <c r="G171" s="9">
        <v>12.5</v>
      </c>
      <c r="H171" s="9">
        <v>12.5</v>
      </c>
      <c r="I171" s="9" t="s">
        <v>45</v>
      </c>
      <c r="J171" s="9" t="s">
        <v>26</v>
      </c>
      <c r="K171" s="9" t="s">
        <v>189</v>
      </c>
      <c r="L171" s="12" t="s">
        <v>190</v>
      </c>
    </row>
    <row r="172" spans="1:12" ht="43.8" thickBot="1" x14ac:dyDescent="0.35">
      <c r="A172" s="3">
        <v>171</v>
      </c>
      <c r="B172" s="4" t="s">
        <v>184</v>
      </c>
      <c r="C172" s="4" t="s">
        <v>369</v>
      </c>
      <c r="D172" s="4">
        <v>1</v>
      </c>
      <c r="E172" s="4" t="s">
        <v>370</v>
      </c>
      <c r="F172" s="6">
        <v>0.60351851851851857</v>
      </c>
      <c r="G172" s="4">
        <v>20.75</v>
      </c>
      <c r="H172" s="4">
        <v>20.75</v>
      </c>
      <c r="I172" s="4" t="s">
        <v>20</v>
      </c>
      <c r="J172" s="4" t="s">
        <v>21</v>
      </c>
      <c r="K172" s="4" t="s">
        <v>100</v>
      </c>
      <c r="L172" s="7" t="s">
        <v>101</v>
      </c>
    </row>
    <row r="173" spans="1:12" ht="43.8" thickBot="1" x14ac:dyDescent="0.35">
      <c r="A173" s="8">
        <v>172</v>
      </c>
      <c r="B173" s="9" t="s">
        <v>184</v>
      </c>
      <c r="C173" s="9" t="s">
        <v>371</v>
      </c>
      <c r="D173" s="9">
        <v>1</v>
      </c>
      <c r="E173" s="9" t="s">
        <v>370</v>
      </c>
      <c r="F173" s="11">
        <v>0.73201388888888885</v>
      </c>
      <c r="G173" s="9">
        <v>20.75</v>
      </c>
      <c r="H173" s="9">
        <v>20.75</v>
      </c>
      <c r="I173" s="9" t="s">
        <v>20</v>
      </c>
      <c r="J173" s="9" t="s">
        <v>21</v>
      </c>
      <c r="K173" s="9" t="s">
        <v>100</v>
      </c>
      <c r="L173" s="12" t="s">
        <v>101</v>
      </c>
    </row>
    <row r="174" spans="1:12" ht="29.4" thickBot="1" x14ac:dyDescent="0.35">
      <c r="A174" s="3">
        <v>173</v>
      </c>
      <c r="B174" s="4" t="s">
        <v>34</v>
      </c>
      <c r="C174" s="4" t="s">
        <v>372</v>
      </c>
      <c r="D174" s="4">
        <v>1</v>
      </c>
      <c r="E174" s="4" t="s">
        <v>370</v>
      </c>
      <c r="F174" s="6">
        <v>0.74934027777777779</v>
      </c>
      <c r="G174" s="4">
        <v>25.5</v>
      </c>
      <c r="H174" s="4">
        <v>25.5</v>
      </c>
      <c r="I174" s="4" t="s">
        <v>36</v>
      </c>
      <c r="J174" s="4" t="s">
        <v>15</v>
      </c>
      <c r="K174" s="4" t="s">
        <v>37</v>
      </c>
      <c r="L174" s="7" t="s">
        <v>38</v>
      </c>
    </row>
    <row r="175" spans="1:12" ht="29.4" thickBot="1" x14ac:dyDescent="0.35">
      <c r="A175" s="8">
        <v>174</v>
      </c>
      <c r="B175" s="9" t="s">
        <v>77</v>
      </c>
      <c r="C175" s="9" t="s">
        <v>373</v>
      </c>
      <c r="D175" s="9">
        <v>1</v>
      </c>
      <c r="E175" s="9" t="s">
        <v>374</v>
      </c>
      <c r="F175" s="11">
        <v>0.57287037037037036</v>
      </c>
      <c r="G175" s="9">
        <v>12.25</v>
      </c>
      <c r="H175" s="9">
        <v>12.25</v>
      </c>
      <c r="I175" s="9" t="s">
        <v>45</v>
      </c>
      <c r="J175" s="9" t="s">
        <v>31</v>
      </c>
      <c r="K175" s="9" t="s">
        <v>80</v>
      </c>
      <c r="L175" s="12" t="s">
        <v>81</v>
      </c>
    </row>
    <row r="176" spans="1:12" ht="29.4" thickBot="1" x14ac:dyDescent="0.35">
      <c r="A176" s="3">
        <v>175</v>
      </c>
      <c r="B176" s="4" t="s">
        <v>149</v>
      </c>
      <c r="C176" s="4" t="s">
        <v>375</v>
      </c>
      <c r="D176" s="4">
        <v>1</v>
      </c>
      <c r="E176" s="4" t="s">
        <v>374</v>
      </c>
      <c r="F176" s="6">
        <v>0.58597222222222223</v>
      </c>
      <c r="G176" s="4">
        <v>16.75</v>
      </c>
      <c r="H176" s="4">
        <v>16.75</v>
      </c>
      <c r="I176" s="4" t="s">
        <v>14</v>
      </c>
      <c r="J176" s="4" t="s">
        <v>21</v>
      </c>
      <c r="K176" s="4" t="s">
        <v>115</v>
      </c>
      <c r="L176" s="7" t="s">
        <v>116</v>
      </c>
    </row>
    <row r="177" spans="1:12" ht="29.4" thickBot="1" x14ac:dyDescent="0.35">
      <c r="A177" s="8">
        <v>176</v>
      </c>
      <c r="B177" s="9" t="s">
        <v>93</v>
      </c>
      <c r="C177" s="9" t="s">
        <v>376</v>
      </c>
      <c r="D177" s="9">
        <v>1</v>
      </c>
      <c r="E177" s="9" t="s">
        <v>377</v>
      </c>
      <c r="F177" s="11">
        <v>0.73311342592592588</v>
      </c>
      <c r="G177" s="9">
        <v>16.5</v>
      </c>
      <c r="H177" s="9">
        <v>16.5</v>
      </c>
      <c r="I177" s="9" t="s">
        <v>14</v>
      </c>
      <c r="J177" s="9" t="s">
        <v>31</v>
      </c>
      <c r="K177" s="9" t="s">
        <v>95</v>
      </c>
      <c r="L177" s="12" t="s">
        <v>96</v>
      </c>
    </row>
    <row r="178" spans="1:12" ht="29.4" thickBot="1" x14ac:dyDescent="0.35">
      <c r="A178" s="3">
        <v>177</v>
      </c>
      <c r="B178" s="4" t="s">
        <v>195</v>
      </c>
      <c r="C178" s="4" t="s">
        <v>267</v>
      </c>
      <c r="D178" s="4">
        <v>1</v>
      </c>
      <c r="E178" s="5">
        <v>42010</v>
      </c>
      <c r="F178" s="6">
        <v>0.48449074074074072</v>
      </c>
      <c r="G178" s="4">
        <v>12</v>
      </c>
      <c r="H178" s="4">
        <v>12</v>
      </c>
      <c r="I178" s="4" t="s">
        <v>45</v>
      </c>
      <c r="J178" s="4" t="s">
        <v>15</v>
      </c>
      <c r="K178" s="4" t="s">
        <v>198</v>
      </c>
      <c r="L178" s="7" t="s">
        <v>199</v>
      </c>
    </row>
    <row r="179" spans="1:12" ht="29.4" thickBot="1" x14ac:dyDescent="0.35">
      <c r="A179" s="8">
        <v>178</v>
      </c>
      <c r="B179" s="9" t="s">
        <v>195</v>
      </c>
      <c r="C179" s="9" t="s">
        <v>378</v>
      </c>
      <c r="D179" s="9">
        <v>1</v>
      </c>
      <c r="E179" s="10">
        <v>42010</v>
      </c>
      <c r="F179" s="11">
        <v>0.50587962962962962</v>
      </c>
      <c r="G179" s="9">
        <v>12</v>
      </c>
      <c r="H179" s="9">
        <v>12</v>
      </c>
      <c r="I179" s="9" t="s">
        <v>45</v>
      </c>
      <c r="J179" s="9" t="s">
        <v>15</v>
      </c>
      <c r="K179" s="9" t="s">
        <v>198</v>
      </c>
      <c r="L179" s="12" t="s">
        <v>199</v>
      </c>
    </row>
    <row r="180" spans="1:12" ht="29.4" thickBot="1" x14ac:dyDescent="0.35">
      <c r="A180" s="3">
        <v>179</v>
      </c>
      <c r="B180" s="4" t="s">
        <v>256</v>
      </c>
      <c r="C180" s="4" t="s">
        <v>379</v>
      </c>
      <c r="D180" s="4">
        <v>1</v>
      </c>
      <c r="E180" s="5">
        <v>42010</v>
      </c>
      <c r="F180" s="6">
        <v>0.51424768518518515</v>
      </c>
      <c r="G180" s="4">
        <v>16.25</v>
      </c>
      <c r="H180" s="4">
        <v>16.25</v>
      </c>
      <c r="I180" s="4" t="s">
        <v>14</v>
      </c>
      <c r="J180" s="4" t="s">
        <v>31</v>
      </c>
      <c r="K180" s="4" t="s">
        <v>164</v>
      </c>
      <c r="L180" s="7" t="s">
        <v>165</v>
      </c>
    </row>
    <row r="181" spans="1:12" ht="29.4" thickBot="1" x14ac:dyDescent="0.35">
      <c r="A181" s="8">
        <v>180</v>
      </c>
      <c r="B181" s="9" t="s">
        <v>195</v>
      </c>
      <c r="C181" s="9" t="s">
        <v>380</v>
      </c>
      <c r="D181" s="9">
        <v>1</v>
      </c>
      <c r="E181" s="10">
        <v>42041</v>
      </c>
      <c r="F181" s="11">
        <v>0.60818287037037033</v>
      </c>
      <c r="G181" s="9">
        <v>12</v>
      </c>
      <c r="H181" s="9">
        <v>12</v>
      </c>
      <c r="I181" s="9" t="s">
        <v>45</v>
      </c>
      <c r="J181" s="9" t="s">
        <v>15</v>
      </c>
      <c r="K181" s="9" t="s">
        <v>198</v>
      </c>
      <c r="L181" s="12" t="s">
        <v>199</v>
      </c>
    </row>
    <row r="182" spans="1:12" ht="29.4" thickBot="1" x14ac:dyDescent="0.35">
      <c r="A182" s="3">
        <v>181</v>
      </c>
      <c r="B182" s="4" t="s">
        <v>381</v>
      </c>
      <c r="C182" s="4" t="s">
        <v>382</v>
      </c>
      <c r="D182" s="4">
        <v>1</v>
      </c>
      <c r="E182" s="5">
        <v>42069</v>
      </c>
      <c r="F182" s="6">
        <v>0.66908564814814819</v>
      </c>
      <c r="G182" s="4">
        <v>16.5</v>
      </c>
      <c r="H182" s="4">
        <v>16.5</v>
      </c>
      <c r="I182" s="4" t="s">
        <v>14</v>
      </c>
      <c r="J182" s="4" t="s">
        <v>26</v>
      </c>
      <c r="K182" s="4" t="s">
        <v>189</v>
      </c>
      <c r="L182" s="7" t="s">
        <v>190</v>
      </c>
    </row>
    <row r="183" spans="1:12" ht="29.4" thickBot="1" x14ac:dyDescent="0.35">
      <c r="A183" s="8">
        <v>182</v>
      </c>
      <c r="B183" s="9" t="s">
        <v>251</v>
      </c>
      <c r="C183" s="9" t="s">
        <v>383</v>
      </c>
      <c r="D183" s="9">
        <v>1</v>
      </c>
      <c r="E183" s="10">
        <v>42130</v>
      </c>
      <c r="F183" s="11">
        <v>0.63372685185185185</v>
      </c>
      <c r="G183" s="9">
        <v>16.75</v>
      </c>
      <c r="H183" s="9">
        <v>16.75</v>
      </c>
      <c r="I183" s="9" t="s">
        <v>14</v>
      </c>
      <c r="J183" s="9" t="s">
        <v>21</v>
      </c>
      <c r="K183" s="9" t="s">
        <v>156</v>
      </c>
      <c r="L183" s="12" t="s">
        <v>157</v>
      </c>
    </row>
    <row r="184" spans="1:12" ht="29.4" thickBot="1" x14ac:dyDescent="0.35">
      <c r="A184" s="3">
        <v>183</v>
      </c>
      <c r="B184" s="4" t="s">
        <v>208</v>
      </c>
      <c r="C184" s="4" t="s">
        <v>384</v>
      </c>
      <c r="D184" s="4">
        <v>1</v>
      </c>
      <c r="E184" s="5">
        <v>42130</v>
      </c>
      <c r="F184" s="6">
        <v>0.63372685185185185</v>
      </c>
      <c r="G184" s="4">
        <v>12</v>
      </c>
      <c r="H184" s="4">
        <v>12</v>
      </c>
      <c r="I184" s="4" t="s">
        <v>45</v>
      </c>
      <c r="J184" s="4" t="s">
        <v>15</v>
      </c>
      <c r="K184" s="4" t="s">
        <v>210</v>
      </c>
      <c r="L184" s="7" t="s">
        <v>211</v>
      </c>
    </row>
    <row r="185" spans="1:12" ht="29.4" thickBot="1" x14ac:dyDescent="0.35">
      <c r="A185" s="8">
        <v>184</v>
      </c>
      <c r="B185" s="9" t="s">
        <v>52</v>
      </c>
      <c r="C185" s="9" t="s">
        <v>385</v>
      </c>
      <c r="D185" s="9">
        <v>1</v>
      </c>
      <c r="E185" s="10">
        <v>42130</v>
      </c>
      <c r="F185" s="11">
        <v>0.63372685185185185</v>
      </c>
      <c r="G185" s="9">
        <v>12.5</v>
      </c>
      <c r="H185" s="9">
        <v>12.5</v>
      </c>
      <c r="I185" s="9" t="s">
        <v>45</v>
      </c>
      <c r="J185" s="9" t="s">
        <v>31</v>
      </c>
      <c r="K185" s="9" t="s">
        <v>32</v>
      </c>
      <c r="L185" s="12" t="s">
        <v>33</v>
      </c>
    </row>
    <row r="186" spans="1:12" ht="43.8" thickBot="1" x14ac:dyDescent="0.35">
      <c r="A186" s="3">
        <v>185</v>
      </c>
      <c r="B186" s="4" t="s">
        <v>386</v>
      </c>
      <c r="C186" s="4" t="s">
        <v>387</v>
      </c>
      <c r="D186" s="4">
        <v>1</v>
      </c>
      <c r="E186" s="5">
        <v>42130</v>
      </c>
      <c r="F186" s="6">
        <v>0.83837962962962964</v>
      </c>
      <c r="G186" s="4">
        <v>20.75</v>
      </c>
      <c r="H186" s="4">
        <v>20.75</v>
      </c>
      <c r="I186" s="4" t="s">
        <v>20</v>
      </c>
      <c r="J186" s="4" t="s">
        <v>31</v>
      </c>
      <c r="K186" s="4" t="s">
        <v>388</v>
      </c>
      <c r="L186" s="7" t="s">
        <v>389</v>
      </c>
    </row>
    <row r="187" spans="1:12" ht="29.4" thickBot="1" x14ac:dyDescent="0.35">
      <c r="A187" s="8">
        <v>186</v>
      </c>
      <c r="B187" s="9" t="s">
        <v>247</v>
      </c>
      <c r="C187" s="9" t="s">
        <v>126</v>
      </c>
      <c r="D187" s="9">
        <v>1</v>
      </c>
      <c r="E187" s="10">
        <v>42161</v>
      </c>
      <c r="F187" s="11">
        <v>0.70773148148148146</v>
      </c>
      <c r="G187" s="9">
        <v>12</v>
      </c>
      <c r="H187" s="9">
        <v>12</v>
      </c>
      <c r="I187" s="9" t="s">
        <v>45</v>
      </c>
      <c r="J187" s="9" t="s">
        <v>26</v>
      </c>
      <c r="K187" s="9" t="s">
        <v>138</v>
      </c>
      <c r="L187" s="12" t="s">
        <v>139</v>
      </c>
    </row>
    <row r="188" spans="1:12" ht="29.4" thickBot="1" x14ac:dyDescent="0.35">
      <c r="A188" s="3">
        <v>187</v>
      </c>
      <c r="B188" s="4" t="s">
        <v>154</v>
      </c>
      <c r="C188" s="4" t="s">
        <v>390</v>
      </c>
      <c r="D188" s="4">
        <v>1</v>
      </c>
      <c r="E188" s="5">
        <v>42161</v>
      </c>
      <c r="F188" s="6">
        <v>0.79636574074074074</v>
      </c>
      <c r="G188" s="4">
        <v>20.75</v>
      </c>
      <c r="H188" s="4">
        <v>20.75</v>
      </c>
      <c r="I188" s="4" t="s">
        <v>20</v>
      </c>
      <c r="J188" s="4" t="s">
        <v>21</v>
      </c>
      <c r="K188" s="4" t="s">
        <v>156</v>
      </c>
      <c r="L188" s="7" t="s">
        <v>157</v>
      </c>
    </row>
    <row r="189" spans="1:12" ht="29.4" thickBot="1" x14ac:dyDescent="0.35">
      <c r="A189" s="8">
        <v>188</v>
      </c>
      <c r="B189" s="9" t="s">
        <v>73</v>
      </c>
      <c r="C189" s="9" t="s">
        <v>391</v>
      </c>
      <c r="D189" s="9">
        <v>1</v>
      </c>
      <c r="E189" s="10">
        <v>42161</v>
      </c>
      <c r="F189" s="11">
        <v>0.8787962962962963</v>
      </c>
      <c r="G189" s="9">
        <v>16.75</v>
      </c>
      <c r="H189" s="9">
        <v>16.75</v>
      </c>
      <c r="I189" s="9" t="s">
        <v>14</v>
      </c>
      <c r="J189" s="9" t="s">
        <v>26</v>
      </c>
      <c r="K189" s="9" t="s">
        <v>75</v>
      </c>
      <c r="L189" s="12" t="s">
        <v>76</v>
      </c>
    </row>
    <row r="190" spans="1:12" ht="29.4" thickBot="1" x14ac:dyDescent="0.35">
      <c r="A190" s="3">
        <v>189</v>
      </c>
      <c r="B190" s="4" t="s">
        <v>195</v>
      </c>
      <c r="C190" s="4" t="s">
        <v>392</v>
      </c>
      <c r="D190" s="4">
        <v>1</v>
      </c>
      <c r="E190" s="5">
        <v>42161</v>
      </c>
      <c r="F190" s="6">
        <v>0.88253472222222218</v>
      </c>
      <c r="G190" s="4">
        <v>12</v>
      </c>
      <c r="H190" s="4">
        <v>12</v>
      </c>
      <c r="I190" s="4" t="s">
        <v>45</v>
      </c>
      <c r="J190" s="4" t="s">
        <v>15</v>
      </c>
      <c r="K190" s="4" t="s">
        <v>198</v>
      </c>
      <c r="L190" s="7" t="s">
        <v>199</v>
      </c>
    </row>
    <row r="191" spans="1:12" ht="29.4" thickBot="1" x14ac:dyDescent="0.35">
      <c r="A191" s="8">
        <v>190</v>
      </c>
      <c r="B191" s="9" t="s">
        <v>112</v>
      </c>
      <c r="C191" s="9" t="s">
        <v>393</v>
      </c>
      <c r="D191" s="9">
        <v>1</v>
      </c>
      <c r="E191" s="10">
        <v>42253</v>
      </c>
      <c r="F191" s="11">
        <v>0.53041666666666665</v>
      </c>
      <c r="G191" s="9">
        <v>20.75</v>
      </c>
      <c r="H191" s="9">
        <v>20.75</v>
      </c>
      <c r="I191" s="9" t="s">
        <v>20</v>
      </c>
      <c r="J191" s="9" t="s">
        <v>21</v>
      </c>
      <c r="K191" s="9" t="s">
        <v>115</v>
      </c>
      <c r="L191" s="12" t="s">
        <v>116</v>
      </c>
    </row>
    <row r="192" spans="1:12" ht="43.8" thickBot="1" x14ac:dyDescent="0.35">
      <c r="A192" s="3">
        <v>191</v>
      </c>
      <c r="B192" s="4" t="s">
        <v>58</v>
      </c>
      <c r="C192" s="4" t="s">
        <v>394</v>
      </c>
      <c r="D192" s="4">
        <v>1</v>
      </c>
      <c r="E192" s="5">
        <v>42253</v>
      </c>
      <c r="F192" s="6">
        <v>0.58550925925925923</v>
      </c>
      <c r="G192" s="4">
        <v>17.95</v>
      </c>
      <c r="H192" s="4">
        <v>17.95</v>
      </c>
      <c r="I192" s="4" t="s">
        <v>20</v>
      </c>
      <c r="J192" s="4" t="s">
        <v>26</v>
      </c>
      <c r="K192" s="4" t="s">
        <v>60</v>
      </c>
      <c r="L192" s="7" t="s">
        <v>61</v>
      </c>
    </row>
    <row r="193" spans="1:12" ht="29.4" thickBot="1" x14ac:dyDescent="0.35">
      <c r="A193" s="8">
        <v>192</v>
      </c>
      <c r="B193" s="9" t="s">
        <v>297</v>
      </c>
      <c r="C193" s="9" t="s">
        <v>395</v>
      </c>
      <c r="D193" s="9">
        <v>1</v>
      </c>
      <c r="E193" s="10">
        <v>42253</v>
      </c>
      <c r="F193" s="11">
        <v>0.74145833333333333</v>
      </c>
      <c r="G193" s="9">
        <v>16.75</v>
      </c>
      <c r="H193" s="9">
        <v>16.75</v>
      </c>
      <c r="I193" s="9" t="s">
        <v>14</v>
      </c>
      <c r="J193" s="9" t="s">
        <v>21</v>
      </c>
      <c r="K193" s="9" t="s">
        <v>22</v>
      </c>
      <c r="L193" s="12" t="s">
        <v>23</v>
      </c>
    </row>
    <row r="194" spans="1:12" ht="29.4" thickBot="1" x14ac:dyDescent="0.35">
      <c r="A194" s="3">
        <v>193</v>
      </c>
      <c r="B194" s="4" t="s">
        <v>204</v>
      </c>
      <c r="C194" s="4" t="s">
        <v>396</v>
      </c>
      <c r="D194" s="4">
        <v>1</v>
      </c>
      <c r="E194" s="5">
        <v>42253</v>
      </c>
      <c r="F194" s="6">
        <v>0.77083333333333337</v>
      </c>
      <c r="G194" s="4">
        <v>20.5</v>
      </c>
      <c r="H194" s="4">
        <v>20.5</v>
      </c>
      <c r="I194" s="4" t="s">
        <v>20</v>
      </c>
      <c r="J194" s="4" t="s">
        <v>15</v>
      </c>
      <c r="K194" s="4" t="s">
        <v>206</v>
      </c>
      <c r="L194" s="7" t="s">
        <v>207</v>
      </c>
    </row>
    <row r="195" spans="1:12" ht="15" thickBot="1" x14ac:dyDescent="0.35">
      <c r="A195" s="8">
        <v>194</v>
      </c>
      <c r="B195" s="9" t="s">
        <v>317</v>
      </c>
      <c r="C195" s="9" t="s">
        <v>397</v>
      </c>
      <c r="D195" s="9">
        <v>1</v>
      </c>
      <c r="E195" s="10">
        <v>42283</v>
      </c>
      <c r="F195" s="11">
        <v>0.50416666666666665</v>
      </c>
      <c r="G195" s="9">
        <v>12.5</v>
      </c>
      <c r="H195" s="9">
        <v>12.5</v>
      </c>
      <c r="I195" s="9" t="s">
        <v>14</v>
      </c>
      <c r="J195" s="9" t="s">
        <v>15</v>
      </c>
      <c r="K195" s="9" t="s">
        <v>41</v>
      </c>
      <c r="L195" s="12" t="s">
        <v>42</v>
      </c>
    </row>
    <row r="196" spans="1:12" ht="29.4" thickBot="1" x14ac:dyDescent="0.35">
      <c r="A196" s="3">
        <v>195</v>
      </c>
      <c r="B196" s="4" t="s">
        <v>48</v>
      </c>
      <c r="C196" s="4" t="s">
        <v>398</v>
      </c>
      <c r="D196" s="4">
        <v>1</v>
      </c>
      <c r="E196" s="5">
        <v>42344</v>
      </c>
      <c r="F196" s="6">
        <v>0.6615509259259259</v>
      </c>
      <c r="G196" s="4">
        <v>20.75</v>
      </c>
      <c r="H196" s="4">
        <v>20.75</v>
      </c>
      <c r="I196" s="4" t="s">
        <v>20</v>
      </c>
      <c r="J196" s="4" t="s">
        <v>31</v>
      </c>
      <c r="K196" s="4" t="s">
        <v>50</v>
      </c>
      <c r="L196" s="7" t="s">
        <v>51</v>
      </c>
    </row>
    <row r="197" spans="1:12" ht="15" thickBot="1" x14ac:dyDescent="0.35">
      <c r="A197" s="8">
        <v>196</v>
      </c>
      <c r="B197" s="9" t="s">
        <v>142</v>
      </c>
      <c r="C197" s="9" t="s">
        <v>399</v>
      </c>
      <c r="D197" s="9">
        <v>1</v>
      </c>
      <c r="E197" s="10">
        <v>42344</v>
      </c>
      <c r="F197" s="11">
        <v>0.71693287037037035</v>
      </c>
      <c r="G197" s="9">
        <v>10.5</v>
      </c>
      <c r="H197" s="9">
        <v>10.5</v>
      </c>
      <c r="I197" s="9" t="s">
        <v>45</v>
      </c>
      <c r="J197" s="9" t="s">
        <v>15</v>
      </c>
      <c r="K197" s="9" t="s">
        <v>120</v>
      </c>
      <c r="L197" s="12" t="s">
        <v>121</v>
      </c>
    </row>
    <row r="198" spans="1:12" ht="29.4" thickBot="1" x14ac:dyDescent="0.35">
      <c r="A198" s="3">
        <v>197</v>
      </c>
      <c r="B198" s="4" t="s">
        <v>112</v>
      </c>
      <c r="C198" s="4" t="s">
        <v>400</v>
      </c>
      <c r="D198" s="4">
        <v>1</v>
      </c>
      <c r="E198" s="4" t="s">
        <v>401</v>
      </c>
      <c r="F198" s="6">
        <v>0.70966435185185184</v>
      </c>
      <c r="G198" s="4">
        <v>20.75</v>
      </c>
      <c r="H198" s="4">
        <v>20.75</v>
      </c>
      <c r="I198" s="4" t="s">
        <v>20</v>
      </c>
      <c r="J198" s="4" t="s">
        <v>21</v>
      </c>
      <c r="K198" s="4" t="s">
        <v>115</v>
      </c>
      <c r="L198" s="7" t="s">
        <v>116</v>
      </c>
    </row>
    <row r="199" spans="1:12" ht="29.4" thickBot="1" x14ac:dyDescent="0.35">
      <c r="A199" s="8">
        <v>198</v>
      </c>
      <c r="B199" s="9" t="s">
        <v>217</v>
      </c>
      <c r="C199" s="9" t="s">
        <v>402</v>
      </c>
      <c r="D199" s="9">
        <v>1</v>
      </c>
      <c r="E199" s="9" t="s">
        <v>401</v>
      </c>
      <c r="F199" s="11">
        <v>0.93748842592592596</v>
      </c>
      <c r="G199" s="9">
        <v>20.75</v>
      </c>
      <c r="H199" s="9">
        <v>20.75</v>
      </c>
      <c r="I199" s="9" t="s">
        <v>20</v>
      </c>
      <c r="J199" s="9" t="s">
        <v>26</v>
      </c>
      <c r="K199" s="9" t="s">
        <v>189</v>
      </c>
      <c r="L199" s="12" t="s">
        <v>190</v>
      </c>
    </row>
    <row r="200" spans="1:12" ht="43.8" thickBot="1" x14ac:dyDescent="0.35">
      <c r="A200" s="3">
        <v>199</v>
      </c>
      <c r="B200" s="4" t="s">
        <v>58</v>
      </c>
      <c r="C200" s="4" t="s">
        <v>403</v>
      </c>
      <c r="D200" s="4">
        <v>1</v>
      </c>
      <c r="E200" s="4" t="s">
        <v>404</v>
      </c>
      <c r="F200" s="6">
        <v>0.58233796296296292</v>
      </c>
      <c r="G200" s="4">
        <v>17.95</v>
      </c>
      <c r="H200" s="4">
        <v>17.95</v>
      </c>
      <c r="I200" s="4" t="s">
        <v>20</v>
      </c>
      <c r="J200" s="4" t="s">
        <v>26</v>
      </c>
      <c r="K200" s="4" t="s">
        <v>60</v>
      </c>
      <c r="L200" s="7" t="s">
        <v>61</v>
      </c>
    </row>
    <row r="201" spans="1:12" ht="29.4" thickBot="1" x14ac:dyDescent="0.35">
      <c r="A201" s="8">
        <v>200</v>
      </c>
      <c r="B201" s="9" t="s">
        <v>179</v>
      </c>
      <c r="C201" s="9" t="s">
        <v>405</v>
      </c>
      <c r="D201" s="9">
        <v>1</v>
      </c>
      <c r="E201" s="9" t="s">
        <v>404</v>
      </c>
      <c r="F201" s="11">
        <v>0.60924768518518524</v>
      </c>
      <c r="G201" s="9">
        <v>20.75</v>
      </c>
      <c r="H201" s="9">
        <v>20.75</v>
      </c>
      <c r="I201" s="9" t="s">
        <v>20</v>
      </c>
      <c r="J201" s="9" t="s">
        <v>31</v>
      </c>
      <c r="K201" s="9" t="s">
        <v>46</v>
      </c>
      <c r="L201" s="12" t="s">
        <v>47</v>
      </c>
    </row>
    <row r="202" spans="1:12" ht="29.4" thickBot="1" x14ac:dyDescent="0.35">
      <c r="A202" s="3">
        <v>201</v>
      </c>
      <c r="B202" s="4" t="s">
        <v>131</v>
      </c>
      <c r="C202" s="4" t="s">
        <v>406</v>
      </c>
      <c r="D202" s="4">
        <v>1</v>
      </c>
      <c r="E202" s="4" t="s">
        <v>404</v>
      </c>
      <c r="F202" s="6">
        <v>0.7631944444444444</v>
      </c>
      <c r="G202" s="4">
        <v>12.5</v>
      </c>
      <c r="H202" s="4">
        <v>12.5</v>
      </c>
      <c r="I202" s="4" t="s">
        <v>45</v>
      </c>
      <c r="J202" s="4" t="s">
        <v>31</v>
      </c>
      <c r="K202" s="4" t="s">
        <v>71</v>
      </c>
      <c r="L202" s="7" t="s">
        <v>72</v>
      </c>
    </row>
    <row r="203" spans="1:12" ht="43.8" thickBot="1" x14ac:dyDescent="0.35">
      <c r="A203" s="8">
        <v>202</v>
      </c>
      <c r="B203" s="9" t="s">
        <v>347</v>
      </c>
      <c r="C203" s="9" t="s">
        <v>407</v>
      </c>
      <c r="D203" s="9">
        <v>1</v>
      </c>
      <c r="E203" s="9" t="s">
        <v>408</v>
      </c>
      <c r="F203" s="11">
        <v>0.75452546296296297</v>
      </c>
      <c r="G203" s="9">
        <v>16</v>
      </c>
      <c r="H203" s="9">
        <v>16</v>
      </c>
      <c r="I203" s="9" t="s">
        <v>14</v>
      </c>
      <c r="J203" s="9" t="s">
        <v>26</v>
      </c>
      <c r="K203" s="9" t="s">
        <v>108</v>
      </c>
      <c r="L203" s="12" t="s">
        <v>109</v>
      </c>
    </row>
    <row r="204" spans="1:12" ht="29.4" thickBot="1" x14ac:dyDescent="0.35">
      <c r="A204" s="3">
        <v>203</v>
      </c>
      <c r="B204" s="4" t="s">
        <v>247</v>
      </c>
      <c r="C204" s="4" t="s">
        <v>409</v>
      </c>
      <c r="D204" s="4">
        <v>1</v>
      </c>
      <c r="E204" s="4" t="s">
        <v>408</v>
      </c>
      <c r="F204" s="6">
        <v>0.775787037037037</v>
      </c>
      <c r="G204" s="4">
        <v>12</v>
      </c>
      <c r="H204" s="4">
        <v>12</v>
      </c>
      <c r="I204" s="4" t="s">
        <v>45</v>
      </c>
      <c r="J204" s="4" t="s">
        <v>26</v>
      </c>
      <c r="K204" s="4" t="s">
        <v>138</v>
      </c>
      <c r="L204" s="7" t="s">
        <v>139</v>
      </c>
    </row>
    <row r="205" spans="1:12" ht="43.8" thickBot="1" x14ac:dyDescent="0.35">
      <c r="A205" s="8">
        <v>204</v>
      </c>
      <c r="B205" s="9" t="s">
        <v>24</v>
      </c>
      <c r="C205" s="9" t="s">
        <v>410</v>
      </c>
      <c r="D205" s="9">
        <v>1</v>
      </c>
      <c r="E205" s="9" t="s">
        <v>411</v>
      </c>
      <c r="F205" s="11">
        <v>0.52724537037037034</v>
      </c>
      <c r="G205" s="9">
        <v>18.5</v>
      </c>
      <c r="H205" s="9">
        <v>18.5</v>
      </c>
      <c r="I205" s="9" t="s">
        <v>20</v>
      </c>
      <c r="J205" s="9" t="s">
        <v>26</v>
      </c>
      <c r="K205" s="9" t="s">
        <v>27</v>
      </c>
      <c r="L205" s="12" t="s">
        <v>28</v>
      </c>
    </row>
    <row r="206" spans="1:12" ht="29.4" thickBot="1" x14ac:dyDescent="0.35">
      <c r="A206" s="3">
        <v>205</v>
      </c>
      <c r="B206" s="4" t="s">
        <v>77</v>
      </c>
      <c r="C206" s="4" t="s">
        <v>412</v>
      </c>
      <c r="D206" s="4">
        <v>1</v>
      </c>
      <c r="E206" s="4" t="s">
        <v>411</v>
      </c>
      <c r="F206" s="6">
        <v>0.72721064814814818</v>
      </c>
      <c r="G206" s="4">
        <v>12.25</v>
      </c>
      <c r="H206" s="4">
        <v>12.25</v>
      </c>
      <c r="I206" s="4" t="s">
        <v>45</v>
      </c>
      <c r="J206" s="4" t="s">
        <v>31</v>
      </c>
      <c r="K206" s="4" t="s">
        <v>80</v>
      </c>
      <c r="L206" s="7" t="s">
        <v>81</v>
      </c>
    </row>
    <row r="207" spans="1:12" ht="29.4" thickBot="1" x14ac:dyDescent="0.35">
      <c r="A207" s="8">
        <v>206</v>
      </c>
      <c r="B207" s="9" t="s">
        <v>90</v>
      </c>
      <c r="C207" s="9" t="s">
        <v>413</v>
      </c>
      <c r="D207" s="9">
        <v>1</v>
      </c>
      <c r="E207" s="9" t="s">
        <v>411</v>
      </c>
      <c r="F207" s="11">
        <v>0.78658564814814813</v>
      </c>
      <c r="G207" s="9">
        <v>20.25</v>
      </c>
      <c r="H207" s="9">
        <v>20.25</v>
      </c>
      <c r="I207" s="9" t="s">
        <v>20</v>
      </c>
      <c r="J207" s="9" t="s">
        <v>31</v>
      </c>
      <c r="K207" s="9" t="s">
        <v>80</v>
      </c>
      <c r="L207" s="12" t="s">
        <v>81</v>
      </c>
    </row>
    <row r="208" spans="1:12" ht="43.8" thickBot="1" x14ac:dyDescent="0.35">
      <c r="A208" s="3">
        <v>207</v>
      </c>
      <c r="B208" s="4" t="s">
        <v>105</v>
      </c>
      <c r="C208" s="4" t="s">
        <v>414</v>
      </c>
      <c r="D208" s="4">
        <v>1</v>
      </c>
      <c r="E208" s="4" t="s">
        <v>415</v>
      </c>
      <c r="F208" s="6">
        <v>0.91113425925925928</v>
      </c>
      <c r="G208" s="4">
        <v>20.25</v>
      </c>
      <c r="H208" s="4">
        <v>20.25</v>
      </c>
      <c r="I208" s="4" t="s">
        <v>20</v>
      </c>
      <c r="J208" s="4" t="s">
        <v>26</v>
      </c>
      <c r="K208" s="4" t="s">
        <v>108</v>
      </c>
      <c r="L208" s="7" t="s">
        <v>109</v>
      </c>
    </row>
    <row r="209" spans="1:12" ht="29.4" thickBot="1" x14ac:dyDescent="0.35">
      <c r="A209" s="8">
        <v>208</v>
      </c>
      <c r="B209" s="9" t="s">
        <v>251</v>
      </c>
      <c r="C209" s="9" t="s">
        <v>416</v>
      </c>
      <c r="D209" s="9">
        <v>1</v>
      </c>
      <c r="E209" s="9" t="s">
        <v>417</v>
      </c>
      <c r="F209" s="11">
        <v>0.54140046296296296</v>
      </c>
      <c r="G209" s="9">
        <v>16.75</v>
      </c>
      <c r="H209" s="9">
        <v>16.75</v>
      </c>
      <c r="I209" s="9" t="s">
        <v>14</v>
      </c>
      <c r="J209" s="9" t="s">
        <v>21</v>
      </c>
      <c r="K209" s="9" t="s">
        <v>156</v>
      </c>
      <c r="L209" s="12" t="s">
        <v>157</v>
      </c>
    </row>
    <row r="210" spans="1:12" ht="29.4" thickBot="1" x14ac:dyDescent="0.35">
      <c r="A210" s="3">
        <v>209</v>
      </c>
      <c r="B210" s="4" t="s">
        <v>170</v>
      </c>
      <c r="C210" s="4" t="s">
        <v>418</v>
      </c>
      <c r="D210" s="4">
        <v>1</v>
      </c>
      <c r="E210" s="4" t="s">
        <v>419</v>
      </c>
      <c r="F210" s="6">
        <v>0.72799768518518515</v>
      </c>
      <c r="G210" s="4">
        <v>20.75</v>
      </c>
      <c r="H210" s="4">
        <v>20.75</v>
      </c>
      <c r="I210" s="4" t="s">
        <v>20</v>
      </c>
      <c r="J210" s="4" t="s">
        <v>31</v>
      </c>
      <c r="K210" s="4" t="s">
        <v>95</v>
      </c>
      <c r="L210" s="7" t="s">
        <v>96</v>
      </c>
    </row>
    <row r="211" spans="1:12" ht="29.4" thickBot="1" x14ac:dyDescent="0.35">
      <c r="A211" s="8">
        <v>210</v>
      </c>
      <c r="B211" s="9" t="s">
        <v>256</v>
      </c>
      <c r="C211" s="9" t="s">
        <v>420</v>
      </c>
      <c r="D211" s="9">
        <v>1</v>
      </c>
      <c r="E211" s="9" t="s">
        <v>421</v>
      </c>
      <c r="F211" s="11">
        <v>0.54952546296296301</v>
      </c>
      <c r="G211" s="9">
        <v>16.25</v>
      </c>
      <c r="H211" s="9">
        <v>16.25</v>
      </c>
      <c r="I211" s="9" t="s">
        <v>14</v>
      </c>
      <c r="J211" s="9" t="s">
        <v>31</v>
      </c>
      <c r="K211" s="9" t="s">
        <v>164</v>
      </c>
      <c r="L211" s="12" t="s">
        <v>165</v>
      </c>
    </row>
    <row r="212" spans="1:12" ht="15" thickBot="1" x14ac:dyDescent="0.35">
      <c r="A212" s="3">
        <v>211</v>
      </c>
      <c r="B212" s="4" t="s">
        <v>317</v>
      </c>
      <c r="C212" s="4" t="s">
        <v>422</v>
      </c>
      <c r="D212" s="4">
        <v>1</v>
      </c>
      <c r="E212" s="4" t="s">
        <v>421</v>
      </c>
      <c r="F212" s="6">
        <v>0.5988310185185185</v>
      </c>
      <c r="G212" s="4">
        <v>12.5</v>
      </c>
      <c r="H212" s="4">
        <v>12.5</v>
      </c>
      <c r="I212" s="4" t="s">
        <v>14</v>
      </c>
      <c r="J212" s="4" t="s">
        <v>15</v>
      </c>
      <c r="K212" s="4" t="s">
        <v>41</v>
      </c>
      <c r="L212" s="7" t="s">
        <v>42</v>
      </c>
    </row>
    <row r="213" spans="1:12" ht="15" thickBot="1" x14ac:dyDescent="0.35">
      <c r="A213" s="8">
        <v>212</v>
      </c>
      <c r="B213" s="9" t="s">
        <v>317</v>
      </c>
      <c r="C213" s="9" t="s">
        <v>423</v>
      </c>
      <c r="D213" s="9">
        <v>1</v>
      </c>
      <c r="E213" s="9" t="s">
        <v>421</v>
      </c>
      <c r="F213" s="11">
        <v>0.72158564814814818</v>
      </c>
      <c r="G213" s="9">
        <v>12.5</v>
      </c>
      <c r="H213" s="9">
        <v>12.5</v>
      </c>
      <c r="I213" s="9" t="s">
        <v>14</v>
      </c>
      <c r="J213" s="9" t="s">
        <v>15</v>
      </c>
      <c r="K213" s="9" t="s">
        <v>41</v>
      </c>
      <c r="L213" s="12" t="s">
        <v>42</v>
      </c>
    </row>
    <row r="214" spans="1:12" ht="29.4" thickBot="1" x14ac:dyDescent="0.35">
      <c r="A214" s="3">
        <v>213</v>
      </c>
      <c r="B214" s="4" t="s">
        <v>73</v>
      </c>
      <c r="C214" s="4" t="s">
        <v>424</v>
      </c>
      <c r="D214" s="4">
        <v>1</v>
      </c>
      <c r="E214" s="4" t="s">
        <v>425</v>
      </c>
      <c r="F214" s="6">
        <v>0.57710648148148147</v>
      </c>
      <c r="G214" s="4">
        <v>16.75</v>
      </c>
      <c r="H214" s="4">
        <v>16.75</v>
      </c>
      <c r="I214" s="4" t="s">
        <v>14</v>
      </c>
      <c r="J214" s="4" t="s">
        <v>26</v>
      </c>
      <c r="K214" s="4" t="s">
        <v>75</v>
      </c>
      <c r="L214" s="7" t="s">
        <v>76</v>
      </c>
    </row>
    <row r="215" spans="1:12" ht="29.4" thickBot="1" x14ac:dyDescent="0.35">
      <c r="A215" s="8">
        <v>214</v>
      </c>
      <c r="B215" s="9" t="s">
        <v>43</v>
      </c>
      <c r="C215" s="9" t="s">
        <v>426</v>
      </c>
      <c r="D215" s="9">
        <v>1</v>
      </c>
      <c r="E215" s="9" t="s">
        <v>425</v>
      </c>
      <c r="F215" s="11">
        <v>0.6507060185185185</v>
      </c>
      <c r="G215" s="9">
        <v>12.5</v>
      </c>
      <c r="H215" s="9">
        <v>12.5</v>
      </c>
      <c r="I215" s="9" t="s">
        <v>45</v>
      </c>
      <c r="J215" s="9" t="s">
        <v>31</v>
      </c>
      <c r="K215" s="9" t="s">
        <v>46</v>
      </c>
      <c r="L215" s="12" t="s">
        <v>47</v>
      </c>
    </row>
    <row r="216" spans="1:12" ht="29.4" thickBot="1" x14ac:dyDescent="0.35">
      <c r="A216" s="3">
        <v>215</v>
      </c>
      <c r="B216" s="4" t="s">
        <v>69</v>
      </c>
      <c r="C216" s="4" t="s">
        <v>427</v>
      </c>
      <c r="D216" s="4">
        <v>1</v>
      </c>
      <c r="E216" s="4" t="s">
        <v>425</v>
      </c>
      <c r="F216" s="6">
        <v>0.70508101851851857</v>
      </c>
      <c r="G216" s="4">
        <v>20.75</v>
      </c>
      <c r="H216" s="4">
        <v>20.75</v>
      </c>
      <c r="I216" s="4" t="s">
        <v>20</v>
      </c>
      <c r="J216" s="4" t="s">
        <v>31</v>
      </c>
      <c r="K216" s="4" t="s">
        <v>71</v>
      </c>
      <c r="L216" s="7" t="s">
        <v>72</v>
      </c>
    </row>
    <row r="217" spans="1:12" ht="29.4" thickBot="1" x14ac:dyDescent="0.35">
      <c r="A217" s="8">
        <v>216</v>
      </c>
      <c r="B217" s="9" t="s">
        <v>175</v>
      </c>
      <c r="C217" s="9" t="s">
        <v>428</v>
      </c>
      <c r="D217" s="9">
        <v>1</v>
      </c>
      <c r="E217" s="9" t="s">
        <v>429</v>
      </c>
      <c r="F217" s="11">
        <v>0.6086921296296296</v>
      </c>
      <c r="G217" s="9">
        <v>16.5</v>
      </c>
      <c r="H217" s="9">
        <v>16.5</v>
      </c>
      <c r="I217" s="9" t="s">
        <v>14</v>
      </c>
      <c r="J217" s="9" t="s">
        <v>31</v>
      </c>
      <c r="K217" s="9" t="s">
        <v>46</v>
      </c>
      <c r="L217" s="12" t="s">
        <v>47</v>
      </c>
    </row>
    <row r="218" spans="1:12" ht="29.4" thickBot="1" x14ac:dyDescent="0.35">
      <c r="A218" s="3">
        <v>217</v>
      </c>
      <c r="B218" s="4" t="s">
        <v>90</v>
      </c>
      <c r="C218" s="4" t="s">
        <v>430</v>
      </c>
      <c r="D218" s="4">
        <v>1</v>
      </c>
      <c r="E218" s="4" t="s">
        <v>429</v>
      </c>
      <c r="F218" s="6">
        <v>0.72365740740740736</v>
      </c>
      <c r="G218" s="4">
        <v>20.25</v>
      </c>
      <c r="H218" s="4">
        <v>20.25</v>
      </c>
      <c r="I218" s="4" t="s">
        <v>20</v>
      </c>
      <c r="J218" s="4" t="s">
        <v>31</v>
      </c>
      <c r="K218" s="4" t="s">
        <v>80</v>
      </c>
      <c r="L218" s="7" t="s">
        <v>81</v>
      </c>
    </row>
    <row r="219" spans="1:12" ht="29.4" thickBot="1" x14ac:dyDescent="0.35">
      <c r="A219" s="8">
        <v>218</v>
      </c>
      <c r="B219" s="9" t="s">
        <v>295</v>
      </c>
      <c r="C219" s="9" t="s">
        <v>431</v>
      </c>
      <c r="D219" s="9">
        <v>1</v>
      </c>
      <c r="E219" s="9" t="s">
        <v>429</v>
      </c>
      <c r="F219" s="11">
        <v>0.82209490740740743</v>
      </c>
      <c r="G219" s="9">
        <v>16</v>
      </c>
      <c r="H219" s="9">
        <v>16</v>
      </c>
      <c r="I219" s="9" t="s">
        <v>14</v>
      </c>
      <c r="J219" s="9" t="s">
        <v>15</v>
      </c>
      <c r="K219" s="9" t="s">
        <v>206</v>
      </c>
      <c r="L219" s="12" t="s">
        <v>207</v>
      </c>
    </row>
    <row r="220" spans="1:12" ht="29.4" thickBot="1" x14ac:dyDescent="0.35">
      <c r="A220" s="3">
        <v>219</v>
      </c>
      <c r="B220" s="4" t="s">
        <v>195</v>
      </c>
      <c r="C220" s="4" t="s">
        <v>432</v>
      </c>
      <c r="D220" s="4">
        <v>1</v>
      </c>
      <c r="E220" s="4" t="s">
        <v>429</v>
      </c>
      <c r="F220" s="6">
        <v>0.86253472222222227</v>
      </c>
      <c r="G220" s="4">
        <v>12</v>
      </c>
      <c r="H220" s="4">
        <v>12</v>
      </c>
      <c r="I220" s="4" t="s">
        <v>45</v>
      </c>
      <c r="J220" s="4" t="s">
        <v>15</v>
      </c>
      <c r="K220" s="4" t="s">
        <v>198</v>
      </c>
      <c r="L220" s="7" t="s">
        <v>199</v>
      </c>
    </row>
    <row r="221" spans="1:12" ht="15" thickBot="1" x14ac:dyDescent="0.35">
      <c r="A221" s="8">
        <v>220</v>
      </c>
      <c r="B221" s="9" t="s">
        <v>317</v>
      </c>
      <c r="C221" s="9" t="s">
        <v>433</v>
      </c>
      <c r="D221" s="9">
        <v>1</v>
      </c>
      <c r="E221" s="9" t="s">
        <v>434</v>
      </c>
      <c r="F221" s="11">
        <v>0.57207175925925924</v>
      </c>
      <c r="G221" s="9">
        <v>12.5</v>
      </c>
      <c r="H221" s="9">
        <v>12.5</v>
      </c>
      <c r="I221" s="9" t="s">
        <v>14</v>
      </c>
      <c r="J221" s="9" t="s">
        <v>15</v>
      </c>
      <c r="K221" s="9" t="s">
        <v>41</v>
      </c>
      <c r="L221" s="12" t="s">
        <v>42</v>
      </c>
    </row>
    <row r="222" spans="1:12" ht="29.4" thickBot="1" x14ac:dyDescent="0.35">
      <c r="A222" s="3">
        <v>221</v>
      </c>
      <c r="B222" s="4" t="s">
        <v>136</v>
      </c>
      <c r="C222" s="4" t="s">
        <v>435</v>
      </c>
      <c r="D222" s="4">
        <v>1</v>
      </c>
      <c r="E222" s="4" t="s">
        <v>434</v>
      </c>
      <c r="F222" s="6">
        <v>0.62924768518518515</v>
      </c>
      <c r="G222" s="4">
        <v>16</v>
      </c>
      <c r="H222" s="4">
        <v>16</v>
      </c>
      <c r="I222" s="4" t="s">
        <v>14</v>
      </c>
      <c r="J222" s="4" t="s">
        <v>26</v>
      </c>
      <c r="K222" s="4" t="s">
        <v>138</v>
      </c>
      <c r="L222" s="7" t="s">
        <v>139</v>
      </c>
    </row>
    <row r="223" spans="1:12" ht="29.4" thickBot="1" x14ac:dyDescent="0.35">
      <c r="A223" s="8">
        <v>222</v>
      </c>
      <c r="B223" s="9" t="s">
        <v>12</v>
      </c>
      <c r="C223" s="9" t="s">
        <v>436</v>
      </c>
      <c r="D223" s="9">
        <v>1</v>
      </c>
      <c r="E223" s="9" t="s">
        <v>434</v>
      </c>
      <c r="F223" s="11">
        <v>0.67732638888888885</v>
      </c>
      <c r="G223" s="9">
        <v>16</v>
      </c>
      <c r="H223" s="9">
        <v>16</v>
      </c>
      <c r="I223" s="9" t="s">
        <v>14</v>
      </c>
      <c r="J223" s="9" t="s">
        <v>15</v>
      </c>
      <c r="K223" s="9" t="s">
        <v>16</v>
      </c>
      <c r="L223" s="12" t="s">
        <v>17</v>
      </c>
    </row>
    <row r="224" spans="1:12" ht="29.4" thickBot="1" x14ac:dyDescent="0.35">
      <c r="A224" s="3">
        <v>223</v>
      </c>
      <c r="B224" s="4" t="s">
        <v>437</v>
      </c>
      <c r="C224" s="4" t="s">
        <v>438</v>
      </c>
      <c r="D224" s="4">
        <v>1</v>
      </c>
      <c r="E224" s="4" t="s">
        <v>439</v>
      </c>
      <c r="F224" s="6">
        <v>0.49829861111111112</v>
      </c>
      <c r="G224" s="4">
        <v>14.5</v>
      </c>
      <c r="H224" s="4">
        <v>14.5</v>
      </c>
      <c r="I224" s="4" t="s">
        <v>14</v>
      </c>
      <c r="J224" s="4" t="s">
        <v>15</v>
      </c>
      <c r="K224" s="4" t="s">
        <v>440</v>
      </c>
      <c r="L224" s="7" t="s">
        <v>441</v>
      </c>
    </row>
    <row r="225" spans="1:12" ht="29.4" thickBot="1" x14ac:dyDescent="0.35">
      <c r="A225" s="8">
        <v>224</v>
      </c>
      <c r="B225" s="9" t="s">
        <v>228</v>
      </c>
      <c r="C225" s="9" t="s">
        <v>442</v>
      </c>
      <c r="D225" s="9">
        <v>1</v>
      </c>
      <c r="E225" s="9" t="s">
        <v>439</v>
      </c>
      <c r="F225" s="11">
        <v>0.62851851851851848</v>
      </c>
      <c r="G225" s="9">
        <v>16.5</v>
      </c>
      <c r="H225" s="9">
        <v>16.5</v>
      </c>
      <c r="I225" s="9" t="s">
        <v>14</v>
      </c>
      <c r="J225" s="9" t="s">
        <v>31</v>
      </c>
      <c r="K225" s="9" t="s">
        <v>50</v>
      </c>
      <c r="L225" s="12" t="s">
        <v>51</v>
      </c>
    </row>
    <row r="226" spans="1:12" ht="29.4" thickBot="1" x14ac:dyDescent="0.35">
      <c r="A226" s="3">
        <v>225</v>
      </c>
      <c r="B226" s="4" t="s">
        <v>77</v>
      </c>
      <c r="C226" s="4" t="s">
        <v>443</v>
      </c>
      <c r="D226" s="4">
        <v>1</v>
      </c>
      <c r="E226" s="4" t="s">
        <v>439</v>
      </c>
      <c r="F226" s="6">
        <v>0.74111111111111116</v>
      </c>
      <c r="G226" s="4">
        <v>12.25</v>
      </c>
      <c r="H226" s="4">
        <v>12.25</v>
      </c>
      <c r="I226" s="4" t="s">
        <v>45</v>
      </c>
      <c r="J226" s="4" t="s">
        <v>31</v>
      </c>
      <c r="K226" s="4" t="s">
        <v>80</v>
      </c>
      <c r="L226" s="7" t="s">
        <v>81</v>
      </c>
    </row>
    <row r="227" spans="1:12" ht="43.8" thickBot="1" x14ac:dyDescent="0.35">
      <c r="A227" s="8">
        <v>226</v>
      </c>
      <c r="B227" s="9" t="s">
        <v>84</v>
      </c>
      <c r="C227" s="9" t="s">
        <v>444</v>
      </c>
      <c r="D227" s="9">
        <v>1</v>
      </c>
      <c r="E227" s="9" t="s">
        <v>445</v>
      </c>
      <c r="F227" s="11">
        <v>0.63260416666666663</v>
      </c>
      <c r="G227" s="9">
        <v>12.75</v>
      </c>
      <c r="H227" s="9">
        <v>12.75</v>
      </c>
      <c r="I227" s="9" t="s">
        <v>45</v>
      </c>
      <c r="J227" s="9" t="s">
        <v>21</v>
      </c>
      <c r="K227" s="9" t="s">
        <v>87</v>
      </c>
      <c r="L227" s="12" t="s">
        <v>88</v>
      </c>
    </row>
    <row r="228" spans="1:12" ht="43.8" thickBot="1" x14ac:dyDescent="0.35">
      <c r="A228" s="3">
        <v>227</v>
      </c>
      <c r="B228" s="4" t="s">
        <v>275</v>
      </c>
      <c r="C228" s="4" t="s">
        <v>446</v>
      </c>
      <c r="D228" s="4">
        <v>1</v>
      </c>
      <c r="E228" s="4" t="s">
        <v>447</v>
      </c>
      <c r="F228" s="6">
        <v>0.65297453703703701</v>
      </c>
      <c r="G228" s="4">
        <v>20.25</v>
      </c>
      <c r="H228" s="4">
        <v>20.25</v>
      </c>
      <c r="I228" s="4" t="s">
        <v>20</v>
      </c>
      <c r="J228" s="4" t="s">
        <v>26</v>
      </c>
      <c r="K228" s="4" t="s">
        <v>56</v>
      </c>
      <c r="L228" s="7" t="s">
        <v>57</v>
      </c>
    </row>
    <row r="229" spans="1:12" ht="29.4" thickBot="1" x14ac:dyDescent="0.35">
      <c r="A229" s="8">
        <v>228</v>
      </c>
      <c r="B229" s="9" t="s">
        <v>221</v>
      </c>
      <c r="C229" s="9" t="s">
        <v>448</v>
      </c>
      <c r="D229" s="9">
        <v>1</v>
      </c>
      <c r="E229" s="9" t="s">
        <v>447</v>
      </c>
      <c r="F229" s="11">
        <v>0.73195601851851855</v>
      </c>
      <c r="G229" s="9">
        <v>12</v>
      </c>
      <c r="H229" s="9">
        <v>12</v>
      </c>
      <c r="I229" s="9" t="s">
        <v>45</v>
      </c>
      <c r="J229" s="9" t="s">
        <v>26</v>
      </c>
      <c r="K229" s="9" t="s">
        <v>224</v>
      </c>
      <c r="L229" s="12" t="s">
        <v>225</v>
      </c>
    </row>
    <row r="230" spans="1:12" ht="43.8" thickBot="1" x14ac:dyDescent="0.35">
      <c r="A230" s="3">
        <v>229</v>
      </c>
      <c r="B230" s="4" t="s">
        <v>287</v>
      </c>
      <c r="C230" s="4" t="s">
        <v>449</v>
      </c>
      <c r="D230" s="4">
        <v>1</v>
      </c>
      <c r="E230" s="4" t="s">
        <v>447</v>
      </c>
      <c r="F230" s="6">
        <v>0.8691550925925926</v>
      </c>
      <c r="G230" s="4">
        <v>16.75</v>
      </c>
      <c r="H230" s="4">
        <v>16.75</v>
      </c>
      <c r="I230" s="4" t="s">
        <v>14</v>
      </c>
      <c r="J230" s="4" t="s">
        <v>21</v>
      </c>
      <c r="K230" s="4" t="s">
        <v>87</v>
      </c>
      <c r="L230" s="7" t="s">
        <v>88</v>
      </c>
    </row>
    <row r="231" spans="1:12" ht="29.4" thickBot="1" x14ac:dyDescent="0.35">
      <c r="A231" s="8">
        <v>230</v>
      </c>
      <c r="B231" s="9" t="s">
        <v>77</v>
      </c>
      <c r="C231" s="9" t="s">
        <v>450</v>
      </c>
      <c r="D231" s="9">
        <v>1</v>
      </c>
      <c r="E231" s="9" t="s">
        <v>451</v>
      </c>
      <c r="F231" s="11">
        <v>0.86681712962962965</v>
      </c>
      <c r="G231" s="9">
        <v>12.25</v>
      </c>
      <c r="H231" s="9">
        <v>12.25</v>
      </c>
      <c r="I231" s="9" t="s">
        <v>45</v>
      </c>
      <c r="J231" s="9" t="s">
        <v>31</v>
      </c>
      <c r="K231" s="9" t="s">
        <v>80</v>
      </c>
      <c r="L231" s="12" t="s">
        <v>81</v>
      </c>
    </row>
    <row r="232" spans="1:12" ht="29.4" thickBot="1" x14ac:dyDescent="0.35">
      <c r="A232" s="3">
        <v>231</v>
      </c>
      <c r="B232" s="4" t="s">
        <v>217</v>
      </c>
      <c r="C232" s="4" t="s">
        <v>452</v>
      </c>
      <c r="D232" s="4">
        <v>1</v>
      </c>
      <c r="E232" s="5">
        <v>42042</v>
      </c>
      <c r="F232" s="6">
        <v>0.56334490740740739</v>
      </c>
      <c r="G232" s="4">
        <v>20.75</v>
      </c>
      <c r="H232" s="4">
        <v>20.75</v>
      </c>
      <c r="I232" s="4" t="s">
        <v>20</v>
      </c>
      <c r="J232" s="4" t="s">
        <v>26</v>
      </c>
      <c r="K232" s="4" t="s">
        <v>189</v>
      </c>
      <c r="L232" s="7" t="s">
        <v>190</v>
      </c>
    </row>
    <row r="233" spans="1:12" ht="29.4" thickBot="1" x14ac:dyDescent="0.35">
      <c r="A233" s="8">
        <v>232</v>
      </c>
      <c r="B233" s="9" t="s">
        <v>195</v>
      </c>
      <c r="C233" s="9" t="s">
        <v>453</v>
      </c>
      <c r="D233" s="9">
        <v>1</v>
      </c>
      <c r="E233" s="10">
        <v>42042</v>
      </c>
      <c r="F233" s="11">
        <v>0.76489583333333333</v>
      </c>
      <c r="G233" s="9">
        <v>12</v>
      </c>
      <c r="H233" s="9">
        <v>12</v>
      </c>
      <c r="I233" s="9" t="s">
        <v>45</v>
      </c>
      <c r="J233" s="9" t="s">
        <v>15</v>
      </c>
      <c r="K233" s="9" t="s">
        <v>198</v>
      </c>
      <c r="L233" s="12" t="s">
        <v>199</v>
      </c>
    </row>
    <row r="234" spans="1:12" ht="43.8" thickBot="1" x14ac:dyDescent="0.35">
      <c r="A234" s="3">
        <v>233</v>
      </c>
      <c r="B234" s="4" t="s">
        <v>125</v>
      </c>
      <c r="C234" s="4" t="s">
        <v>454</v>
      </c>
      <c r="D234" s="4">
        <v>1</v>
      </c>
      <c r="E234" s="5">
        <v>42070</v>
      </c>
      <c r="F234" s="6">
        <v>0.71685185185185185</v>
      </c>
      <c r="G234" s="4">
        <v>20.75</v>
      </c>
      <c r="H234" s="4">
        <v>20.75</v>
      </c>
      <c r="I234" s="4" t="s">
        <v>20</v>
      </c>
      <c r="J234" s="4" t="s">
        <v>21</v>
      </c>
      <c r="K234" s="4" t="s">
        <v>87</v>
      </c>
      <c r="L234" s="7" t="s">
        <v>88</v>
      </c>
    </row>
    <row r="235" spans="1:12" ht="43.8" thickBot="1" x14ac:dyDescent="0.35">
      <c r="A235" s="8">
        <v>234</v>
      </c>
      <c r="B235" s="9" t="s">
        <v>125</v>
      </c>
      <c r="C235" s="9" t="s">
        <v>455</v>
      </c>
      <c r="D235" s="9">
        <v>1</v>
      </c>
      <c r="E235" s="10">
        <v>42070</v>
      </c>
      <c r="F235" s="11">
        <v>0.79921296296296296</v>
      </c>
      <c r="G235" s="9">
        <v>20.75</v>
      </c>
      <c r="H235" s="9">
        <v>20.75</v>
      </c>
      <c r="I235" s="9" t="s">
        <v>20</v>
      </c>
      <c r="J235" s="9" t="s">
        <v>21</v>
      </c>
      <c r="K235" s="9" t="s">
        <v>87</v>
      </c>
      <c r="L235" s="12" t="s">
        <v>88</v>
      </c>
    </row>
    <row r="236" spans="1:12" ht="29.4" thickBot="1" x14ac:dyDescent="0.35">
      <c r="A236" s="3">
        <v>235</v>
      </c>
      <c r="B236" s="4" t="s">
        <v>456</v>
      </c>
      <c r="C236" s="4" t="s">
        <v>457</v>
      </c>
      <c r="D236" s="4">
        <v>1</v>
      </c>
      <c r="E236" s="5">
        <v>42101</v>
      </c>
      <c r="F236" s="6">
        <v>0.721099537037037</v>
      </c>
      <c r="G236" s="4">
        <v>12.25</v>
      </c>
      <c r="H236" s="4">
        <v>12.25</v>
      </c>
      <c r="I236" s="4" t="s">
        <v>45</v>
      </c>
      <c r="J236" s="4" t="s">
        <v>31</v>
      </c>
      <c r="K236" s="4" t="s">
        <v>164</v>
      </c>
      <c r="L236" s="7" t="s">
        <v>165</v>
      </c>
    </row>
    <row r="237" spans="1:12" ht="29.4" thickBot="1" x14ac:dyDescent="0.35">
      <c r="A237" s="8">
        <v>236</v>
      </c>
      <c r="B237" s="9" t="s">
        <v>136</v>
      </c>
      <c r="C237" s="9" t="s">
        <v>458</v>
      </c>
      <c r="D237" s="9">
        <v>1</v>
      </c>
      <c r="E237" s="10">
        <v>42101</v>
      </c>
      <c r="F237" s="11">
        <v>0.84526620370370376</v>
      </c>
      <c r="G237" s="9">
        <v>16</v>
      </c>
      <c r="H237" s="9">
        <v>16</v>
      </c>
      <c r="I237" s="9" t="s">
        <v>14</v>
      </c>
      <c r="J237" s="9" t="s">
        <v>26</v>
      </c>
      <c r="K237" s="9" t="s">
        <v>138</v>
      </c>
      <c r="L237" s="12" t="s">
        <v>139</v>
      </c>
    </row>
    <row r="238" spans="1:12" ht="29.4" thickBot="1" x14ac:dyDescent="0.35">
      <c r="A238" s="3">
        <v>237</v>
      </c>
      <c r="B238" s="4" t="s">
        <v>256</v>
      </c>
      <c r="C238" s="4" t="s">
        <v>459</v>
      </c>
      <c r="D238" s="4">
        <v>1</v>
      </c>
      <c r="E238" s="5">
        <v>42101</v>
      </c>
      <c r="F238" s="6">
        <v>0.85164351851851849</v>
      </c>
      <c r="G238" s="4">
        <v>16.25</v>
      </c>
      <c r="H238" s="4">
        <v>16.25</v>
      </c>
      <c r="I238" s="4" t="s">
        <v>14</v>
      </c>
      <c r="J238" s="4" t="s">
        <v>31</v>
      </c>
      <c r="K238" s="4" t="s">
        <v>164</v>
      </c>
      <c r="L238" s="7" t="s">
        <v>165</v>
      </c>
    </row>
    <row r="239" spans="1:12" ht="15" thickBot="1" x14ac:dyDescent="0.35">
      <c r="A239" s="8">
        <v>238</v>
      </c>
      <c r="B239" s="9" t="s">
        <v>102</v>
      </c>
      <c r="C239" s="9" t="s">
        <v>460</v>
      </c>
      <c r="D239" s="9">
        <v>1</v>
      </c>
      <c r="E239" s="10">
        <v>42101</v>
      </c>
      <c r="F239" s="11">
        <v>0.89067129629629627</v>
      </c>
      <c r="G239" s="9">
        <v>9.75</v>
      </c>
      <c r="H239" s="9">
        <v>9.75</v>
      </c>
      <c r="I239" s="9" t="s">
        <v>45</v>
      </c>
      <c r="J239" s="9" t="s">
        <v>15</v>
      </c>
      <c r="K239" s="9" t="s">
        <v>41</v>
      </c>
      <c r="L239" s="12" t="s">
        <v>42</v>
      </c>
    </row>
    <row r="240" spans="1:12" ht="29.4" thickBot="1" x14ac:dyDescent="0.35">
      <c r="A240" s="3">
        <v>239</v>
      </c>
      <c r="B240" s="4" t="s">
        <v>221</v>
      </c>
      <c r="C240" s="4" t="s">
        <v>461</v>
      </c>
      <c r="D240" s="4">
        <v>1</v>
      </c>
      <c r="E240" s="5">
        <v>42131</v>
      </c>
      <c r="F240" s="6">
        <v>0.89326388888888886</v>
      </c>
      <c r="G240" s="4">
        <v>12</v>
      </c>
      <c r="H240" s="4">
        <v>12</v>
      </c>
      <c r="I240" s="4" t="s">
        <v>45</v>
      </c>
      <c r="J240" s="4" t="s">
        <v>26</v>
      </c>
      <c r="K240" s="4" t="s">
        <v>224</v>
      </c>
      <c r="L240" s="7" t="s">
        <v>225</v>
      </c>
    </row>
    <row r="241" spans="1:12" ht="29.4" thickBot="1" x14ac:dyDescent="0.35">
      <c r="A241" s="8">
        <v>240</v>
      </c>
      <c r="B241" s="9" t="s">
        <v>34</v>
      </c>
      <c r="C241" s="9" t="s">
        <v>462</v>
      </c>
      <c r="D241" s="9">
        <v>1</v>
      </c>
      <c r="E241" s="10">
        <v>42192</v>
      </c>
      <c r="F241" s="11">
        <v>0.5522569444444444</v>
      </c>
      <c r="G241" s="9">
        <v>25.5</v>
      </c>
      <c r="H241" s="9">
        <v>25.5</v>
      </c>
      <c r="I241" s="9" t="s">
        <v>36</v>
      </c>
      <c r="J241" s="9" t="s">
        <v>15</v>
      </c>
      <c r="K241" s="9" t="s">
        <v>37</v>
      </c>
      <c r="L241" s="12" t="s">
        <v>38</v>
      </c>
    </row>
    <row r="242" spans="1:12" ht="29.4" thickBot="1" x14ac:dyDescent="0.35">
      <c r="A242" s="3">
        <v>241</v>
      </c>
      <c r="B242" s="4" t="s">
        <v>266</v>
      </c>
      <c r="C242" s="4" t="s">
        <v>463</v>
      </c>
      <c r="D242" s="4">
        <v>1</v>
      </c>
      <c r="E242" s="5">
        <v>42192</v>
      </c>
      <c r="F242" s="6">
        <v>0.7365856481481482</v>
      </c>
      <c r="G242" s="4">
        <v>20.25</v>
      </c>
      <c r="H242" s="4">
        <v>20.25</v>
      </c>
      <c r="I242" s="4" t="s">
        <v>20</v>
      </c>
      <c r="J242" s="4" t="s">
        <v>26</v>
      </c>
      <c r="K242" s="4" t="s">
        <v>138</v>
      </c>
      <c r="L242" s="7" t="s">
        <v>139</v>
      </c>
    </row>
    <row r="243" spans="1:12" ht="29.4" thickBot="1" x14ac:dyDescent="0.35">
      <c r="A243" s="8">
        <v>242</v>
      </c>
      <c r="B243" s="9" t="s">
        <v>195</v>
      </c>
      <c r="C243" s="9" t="s">
        <v>464</v>
      </c>
      <c r="D243" s="9">
        <v>1</v>
      </c>
      <c r="E243" s="10">
        <v>42192</v>
      </c>
      <c r="F243" s="11">
        <v>0.82601851851851849</v>
      </c>
      <c r="G243" s="9">
        <v>12</v>
      </c>
      <c r="H243" s="9">
        <v>12</v>
      </c>
      <c r="I243" s="9" t="s">
        <v>45</v>
      </c>
      <c r="J243" s="9" t="s">
        <v>15</v>
      </c>
      <c r="K243" s="9" t="s">
        <v>198</v>
      </c>
      <c r="L243" s="12" t="s">
        <v>199</v>
      </c>
    </row>
    <row r="244" spans="1:12" ht="43.8" thickBot="1" x14ac:dyDescent="0.35">
      <c r="A244" s="3">
        <v>243</v>
      </c>
      <c r="B244" s="4" t="s">
        <v>184</v>
      </c>
      <c r="C244" s="4" t="s">
        <v>465</v>
      </c>
      <c r="D244" s="4">
        <v>1</v>
      </c>
      <c r="E244" s="5">
        <v>42192</v>
      </c>
      <c r="F244" s="6">
        <v>0.83555555555555561</v>
      </c>
      <c r="G244" s="4">
        <v>20.75</v>
      </c>
      <c r="H244" s="4">
        <v>20.75</v>
      </c>
      <c r="I244" s="4" t="s">
        <v>20</v>
      </c>
      <c r="J244" s="4" t="s">
        <v>21</v>
      </c>
      <c r="K244" s="4" t="s">
        <v>100</v>
      </c>
      <c r="L244" s="7" t="s">
        <v>101</v>
      </c>
    </row>
    <row r="245" spans="1:12" ht="15" thickBot="1" x14ac:dyDescent="0.35">
      <c r="A245" s="8">
        <v>244</v>
      </c>
      <c r="B245" s="9" t="s">
        <v>213</v>
      </c>
      <c r="C245" s="9" t="s">
        <v>466</v>
      </c>
      <c r="D245" s="9">
        <v>1</v>
      </c>
      <c r="E245" s="10">
        <v>42284</v>
      </c>
      <c r="F245" s="11">
        <v>0.93800925925925926</v>
      </c>
      <c r="G245" s="9">
        <v>13.25</v>
      </c>
      <c r="H245" s="9">
        <v>13.25</v>
      </c>
      <c r="I245" s="9" t="s">
        <v>14</v>
      </c>
      <c r="J245" s="9" t="s">
        <v>15</v>
      </c>
      <c r="K245" s="9" t="s">
        <v>120</v>
      </c>
      <c r="L245" s="12" t="s">
        <v>121</v>
      </c>
    </row>
    <row r="246" spans="1:12" ht="29.4" thickBot="1" x14ac:dyDescent="0.35">
      <c r="A246" s="3">
        <v>245</v>
      </c>
      <c r="B246" s="4" t="s">
        <v>221</v>
      </c>
      <c r="C246" s="4" t="s">
        <v>467</v>
      </c>
      <c r="D246" s="4">
        <v>1</v>
      </c>
      <c r="E246" s="5">
        <v>42315</v>
      </c>
      <c r="F246" s="6">
        <v>0.73335648148148147</v>
      </c>
      <c r="G246" s="4">
        <v>12</v>
      </c>
      <c r="H246" s="4">
        <v>12</v>
      </c>
      <c r="I246" s="4" t="s">
        <v>45</v>
      </c>
      <c r="J246" s="4" t="s">
        <v>26</v>
      </c>
      <c r="K246" s="4" t="s">
        <v>224</v>
      </c>
      <c r="L246" s="7" t="s">
        <v>225</v>
      </c>
    </row>
    <row r="247" spans="1:12" ht="29.4" thickBot="1" x14ac:dyDescent="0.35">
      <c r="A247" s="8">
        <v>246</v>
      </c>
      <c r="B247" s="9" t="s">
        <v>179</v>
      </c>
      <c r="C247" s="9" t="s">
        <v>468</v>
      </c>
      <c r="D247" s="9">
        <v>1</v>
      </c>
      <c r="E247" s="10">
        <v>42315</v>
      </c>
      <c r="F247" s="11">
        <v>0.82021990740740736</v>
      </c>
      <c r="G247" s="9">
        <v>20.75</v>
      </c>
      <c r="H247" s="9">
        <v>20.75</v>
      </c>
      <c r="I247" s="9" t="s">
        <v>20</v>
      </c>
      <c r="J247" s="9" t="s">
        <v>31</v>
      </c>
      <c r="K247" s="9" t="s">
        <v>46</v>
      </c>
      <c r="L247" s="12" t="s">
        <v>47</v>
      </c>
    </row>
    <row r="248" spans="1:12" ht="29.4" thickBot="1" x14ac:dyDescent="0.35">
      <c r="A248" s="3">
        <v>247</v>
      </c>
      <c r="B248" s="4" t="s">
        <v>93</v>
      </c>
      <c r="C248" s="4" t="s">
        <v>469</v>
      </c>
      <c r="D248" s="4">
        <v>1</v>
      </c>
      <c r="E248" s="4" t="s">
        <v>470</v>
      </c>
      <c r="F248" s="6">
        <v>0.81997685185185187</v>
      </c>
      <c r="G248" s="4">
        <v>16.5</v>
      </c>
      <c r="H248" s="4">
        <v>16.5</v>
      </c>
      <c r="I248" s="4" t="s">
        <v>14</v>
      </c>
      <c r="J248" s="4" t="s">
        <v>31</v>
      </c>
      <c r="K248" s="4" t="s">
        <v>95</v>
      </c>
      <c r="L248" s="7" t="s">
        <v>96</v>
      </c>
    </row>
    <row r="249" spans="1:12" ht="29.4" thickBot="1" x14ac:dyDescent="0.35">
      <c r="A249" s="8">
        <v>248</v>
      </c>
      <c r="B249" s="9" t="s">
        <v>231</v>
      </c>
      <c r="C249" s="9" t="s">
        <v>471</v>
      </c>
      <c r="D249" s="9">
        <v>1</v>
      </c>
      <c r="E249" s="9" t="s">
        <v>472</v>
      </c>
      <c r="F249" s="11">
        <v>0.67163194444444441</v>
      </c>
      <c r="G249" s="9">
        <v>16.5</v>
      </c>
      <c r="H249" s="9">
        <v>16.5</v>
      </c>
      <c r="I249" s="9" t="s">
        <v>14</v>
      </c>
      <c r="J249" s="9" t="s">
        <v>31</v>
      </c>
      <c r="K249" s="9" t="s">
        <v>71</v>
      </c>
      <c r="L249" s="12" t="s">
        <v>72</v>
      </c>
    </row>
    <row r="250" spans="1:12" ht="29.4" thickBot="1" x14ac:dyDescent="0.35">
      <c r="A250" s="3">
        <v>249</v>
      </c>
      <c r="B250" s="4" t="s">
        <v>140</v>
      </c>
      <c r="C250" s="4" t="s">
        <v>473</v>
      </c>
      <c r="D250" s="4">
        <v>1</v>
      </c>
      <c r="E250" s="4" t="s">
        <v>474</v>
      </c>
      <c r="F250" s="6">
        <v>0.68973379629629628</v>
      </c>
      <c r="G250" s="4">
        <v>12.5</v>
      </c>
      <c r="H250" s="4">
        <v>12.5</v>
      </c>
      <c r="I250" s="4" t="s">
        <v>45</v>
      </c>
      <c r="J250" s="4" t="s">
        <v>31</v>
      </c>
      <c r="K250" s="4" t="s">
        <v>95</v>
      </c>
      <c r="L250" s="7" t="s">
        <v>96</v>
      </c>
    </row>
    <row r="251" spans="1:12" ht="29.4" thickBot="1" x14ac:dyDescent="0.35">
      <c r="A251" s="8">
        <v>250</v>
      </c>
      <c r="B251" s="9" t="s">
        <v>69</v>
      </c>
      <c r="C251" s="9" t="s">
        <v>475</v>
      </c>
      <c r="D251" s="9">
        <v>1</v>
      </c>
      <c r="E251" s="9" t="s">
        <v>474</v>
      </c>
      <c r="F251" s="11">
        <v>0.72355324074074079</v>
      </c>
      <c r="G251" s="9">
        <v>20.75</v>
      </c>
      <c r="H251" s="9">
        <v>20.75</v>
      </c>
      <c r="I251" s="9" t="s">
        <v>20</v>
      </c>
      <c r="J251" s="9" t="s">
        <v>31</v>
      </c>
      <c r="K251" s="9" t="s">
        <v>71</v>
      </c>
      <c r="L251" s="12" t="s">
        <v>72</v>
      </c>
    </row>
    <row r="252" spans="1:12" ht="29.4" thickBot="1" x14ac:dyDescent="0.35">
      <c r="A252" s="3">
        <v>251</v>
      </c>
      <c r="B252" s="4" t="s">
        <v>251</v>
      </c>
      <c r="C252" s="4" t="s">
        <v>476</v>
      </c>
      <c r="D252" s="4">
        <v>1</v>
      </c>
      <c r="E252" s="4" t="s">
        <v>477</v>
      </c>
      <c r="F252" s="6">
        <v>0.59414351851851854</v>
      </c>
      <c r="G252" s="4">
        <v>16.75</v>
      </c>
      <c r="H252" s="4">
        <v>16.75</v>
      </c>
      <c r="I252" s="4" t="s">
        <v>14</v>
      </c>
      <c r="J252" s="4" t="s">
        <v>21</v>
      </c>
      <c r="K252" s="4" t="s">
        <v>156</v>
      </c>
      <c r="L252" s="7" t="s">
        <v>157</v>
      </c>
    </row>
    <row r="253" spans="1:12" ht="29.4" thickBot="1" x14ac:dyDescent="0.35">
      <c r="A253" s="8">
        <v>252</v>
      </c>
      <c r="B253" s="9" t="s">
        <v>195</v>
      </c>
      <c r="C253" s="9" t="s">
        <v>478</v>
      </c>
      <c r="D253" s="9">
        <v>1</v>
      </c>
      <c r="E253" s="9" t="s">
        <v>477</v>
      </c>
      <c r="F253" s="11">
        <v>0.68462962962962959</v>
      </c>
      <c r="G253" s="9">
        <v>12</v>
      </c>
      <c r="H253" s="9">
        <v>12</v>
      </c>
      <c r="I253" s="9" t="s">
        <v>45</v>
      </c>
      <c r="J253" s="9" t="s">
        <v>15</v>
      </c>
      <c r="K253" s="9" t="s">
        <v>198</v>
      </c>
      <c r="L253" s="12" t="s">
        <v>199</v>
      </c>
    </row>
    <row r="254" spans="1:12" ht="29.4" thickBot="1" x14ac:dyDescent="0.35">
      <c r="A254" s="3">
        <v>253</v>
      </c>
      <c r="B254" s="4" t="s">
        <v>93</v>
      </c>
      <c r="C254" s="4" t="s">
        <v>479</v>
      </c>
      <c r="D254" s="4">
        <v>1</v>
      </c>
      <c r="E254" s="4" t="s">
        <v>480</v>
      </c>
      <c r="F254" s="6">
        <v>0.51315972222222217</v>
      </c>
      <c r="G254" s="4">
        <v>16.5</v>
      </c>
      <c r="H254" s="4">
        <v>16.5</v>
      </c>
      <c r="I254" s="4" t="s">
        <v>14</v>
      </c>
      <c r="J254" s="4" t="s">
        <v>31</v>
      </c>
      <c r="K254" s="4" t="s">
        <v>95</v>
      </c>
      <c r="L254" s="7" t="s">
        <v>96</v>
      </c>
    </row>
    <row r="255" spans="1:12" ht="29.4" thickBot="1" x14ac:dyDescent="0.35">
      <c r="A255" s="8">
        <v>254</v>
      </c>
      <c r="B255" s="9" t="s">
        <v>251</v>
      </c>
      <c r="C255" s="9" t="s">
        <v>269</v>
      </c>
      <c r="D255" s="9">
        <v>1</v>
      </c>
      <c r="E255" s="9" t="s">
        <v>480</v>
      </c>
      <c r="F255" s="11">
        <v>0.62614583333333329</v>
      </c>
      <c r="G255" s="9">
        <v>16.75</v>
      </c>
      <c r="H255" s="9">
        <v>16.75</v>
      </c>
      <c r="I255" s="9" t="s">
        <v>14</v>
      </c>
      <c r="J255" s="9" t="s">
        <v>21</v>
      </c>
      <c r="K255" s="9" t="s">
        <v>156</v>
      </c>
      <c r="L255" s="12" t="s">
        <v>157</v>
      </c>
    </row>
    <row r="256" spans="1:12" ht="29.4" thickBot="1" x14ac:dyDescent="0.35">
      <c r="A256" s="3">
        <v>255</v>
      </c>
      <c r="B256" s="4" t="s">
        <v>73</v>
      </c>
      <c r="C256" s="4" t="s">
        <v>481</v>
      </c>
      <c r="D256" s="4">
        <v>2</v>
      </c>
      <c r="E256" s="4" t="s">
        <v>482</v>
      </c>
      <c r="F256" s="6">
        <v>0.58024305555555555</v>
      </c>
      <c r="G256" s="4">
        <v>16.75</v>
      </c>
      <c r="H256" s="4">
        <v>33.5</v>
      </c>
      <c r="I256" s="4" t="s">
        <v>14</v>
      </c>
      <c r="J256" s="4" t="s">
        <v>26</v>
      </c>
      <c r="K256" s="4" t="s">
        <v>75</v>
      </c>
      <c r="L256" s="7" t="s">
        <v>76</v>
      </c>
    </row>
    <row r="257" spans="1:12" ht="29.4" thickBot="1" x14ac:dyDescent="0.35">
      <c r="A257" s="8">
        <v>256</v>
      </c>
      <c r="B257" s="9" t="s">
        <v>221</v>
      </c>
      <c r="C257" s="9" t="s">
        <v>483</v>
      </c>
      <c r="D257" s="9">
        <v>1</v>
      </c>
      <c r="E257" s="9" t="s">
        <v>482</v>
      </c>
      <c r="F257" s="11">
        <v>0.66468749999999999</v>
      </c>
      <c r="G257" s="9">
        <v>12</v>
      </c>
      <c r="H257" s="9">
        <v>12</v>
      </c>
      <c r="I257" s="9" t="s">
        <v>45</v>
      </c>
      <c r="J257" s="9" t="s">
        <v>26</v>
      </c>
      <c r="K257" s="9" t="s">
        <v>224</v>
      </c>
      <c r="L257" s="12" t="s">
        <v>225</v>
      </c>
    </row>
    <row r="258" spans="1:12" ht="29.4" thickBot="1" x14ac:dyDescent="0.35">
      <c r="A258" s="3">
        <v>257</v>
      </c>
      <c r="B258" s="4" t="s">
        <v>34</v>
      </c>
      <c r="C258" s="4" t="s">
        <v>484</v>
      </c>
      <c r="D258" s="4">
        <v>1</v>
      </c>
      <c r="E258" s="4" t="s">
        <v>482</v>
      </c>
      <c r="F258" s="6">
        <v>0.77945601851851853</v>
      </c>
      <c r="G258" s="4">
        <v>25.5</v>
      </c>
      <c r="H258" s="4">
        <v>25.5</v>
      </c>
      <c r="I258" s="4" t="s">
        <v>36</v>
      </c>
      <c r="J258" s="4" t="s">
        <v>15</v>
      </c>
      <c r="K258" s="4" t="s">
        <v>37</v>
      </c>
      <c r="L258" s="7" t="s">
        <v>38</v>
      </c>
    </row>
    <row r="259" spans="1:12" ht="29.4" thickBot="1" x14ac:dyDescent="0.35">
      <c r="A259" s="8">
        <v>258</v>
      </c>
      <c r="B259" s="9" t="s">
        <v>140</v>
      </c>
      <c r="C259" s="9" t="s">
        <v>485</v>
      </c>
      <c r="D259" s="9">
        <v>1</v>
      </c>
      <c r="E259" s="9" t="s">
        <v>486</v>
      </c>
      <c r="F259" s="11">
        <v>0.49306712962962962</v>
      </c>
      <c r="G259" s="9">
        <v>12.5</v>
      </c>
      <c r="H259" s="9">
        <v>12.5</v>
      </c>
      <c r="I259" s="9" t="s">
        <v>45</v>
      </c>
      <c r="J259" s="9" t="s">
        <v>31</v>
      </c>
      <c r="K259" s="9" t="s">
        <v>95</v>
      </c>
      <c r="L259" s="12" t="s">
        <v>96</v>
      </c>
    </row>
    <row r="260" spans="1:12" ht="29.4" thickBot="1" x14ac:dyDescent="0.35">
      <c r="A260" s="3">
        <v>259</v>
      </c>
      <c r="B260" s="4" t="s">
        <v>487</v>
      </c>
      <c r="C260" s="4" t="s">
        <v>488</v>
      </c>
      <c r="D260" s="4">
        <v>1</v>
      </c>
      <c r="E260" s="4" t="s">
        <v>486</v>
      </c>
      <c r="F260" s="6">
        <v>0.54666666666666663</v>
      </c>
      <c r="G260" s="4">
        <v>20.5</v>
      </c>
      <c r="H260" s="4">
        <v>20.5</v>
      </c>
      <c r="I260" s="4" t="s">
        <v>20</v>
      </c>
      <c r="J260" s="4" t="s">
        <v>15</v>
      </c>
      <c r="K260" s="4" t="s">
        <v>16</v>
      </c>
      <c r="L260" s="7" t="s">
        <v>17</v>
      </c>
    </row>
    <row r="261" spans="1:12" ht="43.8" thickBot="1" x14ac:dyDescent="0.35">
      <c r="A261" s="8">
        <v>260</v>
      </c>
      <c r="B261" s="9" t="s">
        <v>489</v>
      </c>
      <c r="C261" s="9" t="s">
        <v>490</v>
      </c>
      <c r="D261" s="9">
        <v>1</v>
      </c>
      <c r="E261" s="9" t="s">
        <v>486</v>
      </c>
      <c r="F261" s="11">
        <v>0.6847685185185185</v>
      </c>
      <c r="G261" s="9">
        <v>14.75</v>
      </c>
      <c r="H261" s="9">
        <v>14.75</v>
      </c>
      <c r="I261" s="9" t="s">
        <v>14</v>
      </c>
      <c r="J261" s="9" t="s">
        <v>26</v>
      </c>
      <c r="K261" s="9" t="s">
        <v>60</v>
      </c>
      <c r="L261" s="12" t="s">
        <v>61</v>
      </c>
    </row>
    <row r="262" spans="1:12" ht="29.4" thickBot="1" x14ac:dyDescent="0.35">
      <c r="A262" s="3">
        <v>261</v>
      </c>
      <c r="B262" s="4" t="s">
        <v>187</v>
      </c>
      <c r="C262" s="4" t="s">
        <v>491</v>
      </c>
      <c r="D262" s="4">
        <v>1</v>
      </c>
      <c r="E262" s="4" t="s">
        <v>486</v>
      </c>
      <c r="F262" s="6">
        <v>0.80984953703703699</v>
      </c>
      <c r="G262" s="4">
        <v>12.5</v>
      </c>
      <c r="H262" s="4">
        <v>12.5</v>
      </c>
      <c r="I262" s="4" t="s">
        <v>45</v>
      </c>
      <c r="J262" s="4" t="s">
        <v>26</v>
      </c>
      <c r="K262" s="4" t="s">
        <v>189</v>
      </c>
      <c r="L262" s="7" t="s">
        <v>190</v>
      </c>
    </row>
    <row r="263" spans="1:12" ht="29.4" thickBot="1" x14ac:dyDescent="0.35">
      <c r="A263" s="8">
        <v>262</v>
      </c>
      <c r="B263" s="9" t="s">
        <v>204</v>
      </c>
      <c r="C263" s="9" t="s">
        <v>492</v>
      </c>
      <c r="D263" s="9">
        <v>1</v>
      </c>
      <c r="E263" s="9" t="s">
        <v>486</v>
      </c>
      <c r="F263" s="11">
        <v>0.83364583333333331</v>
      </c>
      <c r="G263" s="9">
        <v>20.5</v>
      </c>
      <c r="H263" s="9">
        <v>20.5</v>
      </c>
      <c r="I263" s="9" t="s">
        <v>20</v>
      </c>
      <c r="J263" s="9" t="s">
        <v>15</v>
      </c>
      <c r="K263" s="9" t="s">
        <v>206</v>
      </c>
      <c r="L263" s="12" t="s">
        <v>207</v>
      </c>
    </row>
    <row r="264" spans="1:12" ht="29.4" thickBot="1" x14ac:dyDescent="0.35">
      <c r="A264" s="3">
        <v>263</v>
      </c>
      <c r="B264" s="4" t="s">
        <v>493</v>
      </c>
      <c r="C264" s="4" t="s">
        <v>494</v>
      </c>
      <c r="D264" s="4">
        <v>1</v>
      </c>
      <c r="E264" s="4" t="s">
        <v>495</v>
      </c>
      <c r="F264" s="6">
        <v>0.70413194444444449</v>
      </c>
      <c r="G264" s="4">
        <v>11</v>
      </c>
      <c r="H264" s="4">
        <v>11</v>
      </c>
      <c r="I264" s="4" t="s">
        <v>45</v>
      </c>
      <c r="J264" s="4" t="s">
        <v>15</v>
      </c>
      <c r="K264" s="4" t="s">
        <v>440</v>
      </c>
      <c r="L264" s="7" t="s">
        <v>441</v>
      </c>
    </row>
    <row r="265" spans="1:12" ht="29.4" thickBot="1" x14ac:dyDescent="0.35">
      <c r="A265" s="8">
        <v>264</v>
      </c>
      <c r="B265" s="9" t="s">
        <v>69</v>
      </c>
      <c r="C265" s="9" t="s">
        <v>496</v>
      </c>
      <c r="D265" s="9">
        <v>1</v>
      </c>
      <c r="E265" s="9" t="s">
        <v>497</v>
      </c>
      <c r="F265" s="11">
        <v>0.49809027777777776</v>
      </c>
      <c r="G265" s="9">
        <v>20.75</v>
      </c>
      <c r="H265" s="9">
        <v>20.75</v>
      </c>
      <c r="I265" s="9" t="s">
        <v>20</v>
      </c>
      <c r="J265" s="9" t="s">
        <v>31</v>
      </c>
      <c r="K265" s="9" t="s">
        <v>71</v>
      </c>
      <c r="L265" s="12" t="s">
        <v>72</v>
      </c>
    </row>
    <row r="266" spans="1:12" ht="43.8" thickBot="1" x14ac:dyDescent="0.35">
      <c r="A266" s="3">
        <v>265</v>
      </c>
      <c r="B266" s="4" t="s">
        <v>58</v>
      </c>
      <c r="C266" s="4" t="s">
        <v>498</v>
      </c>
      <c r="D266" s="4">
        <v>1</v>
      </c>
      <c r="E266" s="4" t="s">
        <v>497</v>
      </c>
      <c r="F266" s="6">
        <v>0.8145486111111111</v>
      </c>
      <c r="G266" s="4">
        <v>17.95</v>
      </c>
      <c r="H266" s="4">
        <v>17.95</v>
      </c>
      <c r="I266" s="4" t="s">
        <v>20</v>
      </c>
      <c r="J266" s="4" t="s">
        <v>26</v>
      </c>
      <c r="K266" s="4" t="s">
        <v>60</v>
      </c>
      <c r="L266" s="7" t="s">
        <v>61</v>
      </c>
    </row>
    <row r="267" spans="1:12" ht="29.4" thickBot="1" x14ac:dyDescent="0.35">
      <c r="A267" s="8">
        <v>266</v>
      </c>
      <c r="B267" s="9" t="s">
        <v>228</v>
      </c>
      <c r="C267" s="9" t="s">
        <v>499</v>
      </c>
      <c r="D267" s="9">
        <v>1</v>
      </c>
      <c r="E267" s="9" t="s">
        <v>497</v>
      </c>
      <c r="F267" s="11">
        <v>0.88289351851851849</v>
      </c>
      <c r="G267" s="9">
        <v>16.5</v>
      </c>
      <c r="H267" s="9">
        <v>16.5</v>
      </c>
      <c r="I267" s="9" t="s">
        <v>14</v>
      </c>
      <c r="J267" s="9" t="s">
        <v>31</v>
      </c>
      <c r="K267" s="9" t="s">
        <v>50</v>
      </c>
      <c r="L267" s="12" t="s">
        <v>51</v>
      </c>
    </row>
    <row r="268" spans="1:12" ht="15" thickBot="1" x14ac:dyDescent="0.35">
      <c r="A268" s="3">
        <v>267</v>
      </c>
      <c r="B268" s="4" t="s">
        <v>142</v>
      </c>
      <c r="C268" s="4" t="s">
        <v>500</v>
      </c>
      <c r="D268" s="4">
        <v>1</v>
      </c>
      <c r="E268" s="4" t="s">
        <v>501</v>
      </c>
      <c r="F268" s="6">
        <v>0.56607638888888889</v>
      </c>
      <c r="G268" s="4">
        <v>10.5</v>
      </c>
      <c r="H268" s="4">
        <v>10.5</v>
      </c>
      <c r="I268" s="4" t="s">
        <v>45</v>
      </c>
      <c r="J268" s="4" t="s">
        <v>15</v>
      </c>
      <c r="K268" s="4" t="s">
        <v>120</v>
      </c>
      <c r="L268" s="7" t="s">
        <v>121</v>
      </c>
    </row>
    <row r="269" spans="1:12" ht="29.4" thickBot="1" x14ac:dyDescent="0.35">
      <c r="A269" s="8">
        <v>268</v>
      </c>
      <c r="B269" s="9" t="s">
        <v>173</v>
      </c>
      <c r="C269" s="9" t="s">
        <v>502</v>
      </c>
      <c r="D269" s="9">
        <v>1</v>
      </c>
      <c r="E269" s="9" t="s">
        <v>501</v>
      </c>
      <c r="F269" s="11">
        <v>0.88909722222222221</v>
      </c>
      <c r="G269" s="9">
        <v>16.25</v>
      </c>
      <c r="H269" s="9">
        <v>16.25</v>
      </c>
      <c r="I269" s="9" t="s">
        <v>14</v>
      </c>
      <c r="J269" s="9" t="s">
        <v>31</v>
      </c>
      <c r="K269" s="9" t="s">
        <v>80</v>
      </c>
      <c r="L269" s="12" t="s">
        <v>81</v>
      </c>
    </row>
    <row r="270" spans="1:12" ht="29.4" thickBot="1" x14ac:dyDescent="0.35">
      <c r="A270" s="3">
        <v>269</v>
      </c>
      <c r="B270" s="4" t="s">
        <v>131</v>
      </c>
      <c r="C270" s="4" t="s">
        <v>503</v>
      </c>
      <c r="D270" s="4">
        <v>1</v>
      </c>
      <c r="E270" s="4" t="s">
        <v>504</v>
      </c>
      <c r="F270" s="6">
        <v>0.53697916666666667</v>
      </c>
      <c r="G270" s="4">
        <v>12.5</v>
      </c>
      <c r="H270" s="4">
        <v>12.5</v>
      </c>
      <c r="I270" s="4" t="s">
        <v>45</v>
      </c>
      <c r="J270" s="4" t="s">
        <v>31</v>
      </c>
      <c r="K270" s="4" t="s">
        <v>71</v>
      </c>
      <c r="L270" s="7" t="s">
        <v>72</v>
      </c>
    </row>
    <row r="271" spans="1:12" ht="29.4" thickBot="1" x14ac:dyDescent="0.35">
      <c r="A271" s="8">
        <v>270</v>
      </c>
      <c r="B271" s="9" t="s">
        <v>221</v>
      </c>
      <c r="C271" s="9" t="s">
        <v>49</v>
      </c>
      <c r="D271" s="9">
        <v>1</v>
      </c>
      <c r="E271" s="9" t="s">
        <v>505</v>
      </c>
      <c r="F271" s="11">
        <v>0.50248842592592591</v>
      </c>
      <c r="G271" s="9">
        <v>12</v>
      </c>
      <c r="H271" s="9">
        <v>12</v>
      </c>
      <c r="I271" s="9" t="s">
        <v>45</v>
      </c>
      <c r="J271" s="9" t="s">
        <v>26</v>
      </c>
      <c r="K271" s="9" t="s">
        <v>224</v>
      </c>
      <c r="L271" s="12" t="s">
        <v>225</v>
      </c>
    </row>
    <row r="272" spans="1:12" ht="15" thickBot="1" x14ac:dyDescent="0.35">
      <c r="A272" s="3">
        <v>271</v>
      </c>
      <c r="B272" s="4" t="s">
        <v>142</v>
      </c>
      <c r="C272" s="4" t="s">
        <v>506</v>
      </c>
      <c r="D272" s="4">
        <v>1</v>
      </c>
      <c r="E272" s="4" t="s">
        <v>505</v>
      </c>
      <c r="F272" s="6">
        <v>0.83835648148148145</v>
      </c>
      <c r="G272" s="4">
        <v>10.5</v>
      </c>
      <c r="H272" s="4">
        <v>10.5</v>
      </c>
      <c r="I272" s="4" t="s">
        <v>45</v>
      </c>
      <c r="J272" s="4" t="s">
        <v>15</v>
      </c>
      <c r="K272" s="4" t="s">
        <v>120</v>
      </c>
      <c r="L272" s="7" t="s">
        <v>121</v>
      </c>
    </row>
    <row r="273" spans="1:12" ht="29.4" thickBot="1" x14ac:dyDescent="0.35">
      <c r="A273" s="8">
        <v>272</v>
      </c>
      <c r="B273" s="9" t="s">
        <v>179</v>
      </c>
      <c r="C273" s="9" t="s">
        <v>507</v>
      </c>
      <c r="D273" s="9">
        <v>1</v>
      </c>
      <c r="E273" s="9" t="s">
        <v>508</v>
      </c>
      <c r="F273" s="11">
        <v>0.51031249999999995</v>
      </c>
      <c r="G273" s="9">
        <v>20.75</v>
      </c>
      <c r="H273" s="9">
        <v>20.75</v>
      </c>
      <c r="I273" s="9" t="s">
        <v>20</v>
      </c>
      <c r="J273" s="9" t="s">
        <v>31</v>
      </c>
      <c r="K273" s="9" t="s">
        <v>46</v>
      </c>
      <c r="L273" s="12" t="s">
        <v>47</v>
      </c>
    </row>
    <row r="274" spans="1:12" ht="29.4" thickBot="1" x14ac:dyDescent="0.35">
      <c r="A274" s="3">
        <v>273</v>
      </c>
      <c r="B274" s="4" t="s">
        <v>112</v>
      </c>
      <c r="C274" s="4" t="s">
        <v>509</v>
      </c>
      <c r="D274" s="4">
        <v>1</v>
      </c>
      <c r="E274" s="4" t="s">
        <v>510</v>
      </c>
      <c r="F274" s="6">
        <v>0.71793981481481484</v>
      </c>
      <c r="G274" s="4">
        <v>20.75</v>
      </c>
      <c r="H274" s="4">
        <v>20.75</v>
      </c>
      <c r="I274" s="4" t="s">
        <v>20</v>
      </c>
      <c r="J274" s="4" t="s">
        <v>21</v>
      </c>
      <c r="K274" s="4" t="s">
        <v>115</v>
      </c>
      <c r="L274" s="7" t="s">
        <v>116</v>
      </c>
    </row>
    <row r="275" spans="1:12" ht="43.8" thickBot="1" x14ac:dyDescent="0.35">
      <c r="A275" s="8">
        <v>274</v>
      </c>
      <c r="B275" s="9" t="s">
        <v>125</v>
      </c>
      <c r="C275" s="9" t="s">
        <v>511</v>
      </c>
      <c r="D275" s="9">
        <v>1</v>
      </c>
      <c r="E275" s="9" t="s">
        <v>512</v>
      </c>
      <c r="F275" s="11">
        <v>0.68217592592592591</v>
      </c>
      <c r="G275" s="9">
        <v>20.75</v>
      </c>
      <c r="H275" s="9">
        <v>20.75</v>
      </c>
      <c r="I275" s="9" t="s">
        <v>20</v>
      </c>
      <c r="J275" s="9" t="s">
        <v>21</v>
      </c>
      <c r="K275" s="9" t="s">
        <v>87</v>
      </c>
      <c r="L275" s="12" t="s">
        <v>88</v>
      </c>
    </row>
    <row r="276" spans="1:12" ht="29.4" thickBot="1" x14ac:dyDescent="0.35">
      <c r="A276" s="3">
        <v>275</v>
      </c>
      <c r="B276" s="4" t="s">
        <v>195</v>
      </c>
      <c r="C276" s="4" t="s">
        <v>513</v>
      </c>
      <c r="D276" s="4">
        <v>1</v>
      </c>
      <c r="E276" s="4" t="s">
        <v>514</v>
      </c>
      <c r="F276" s="6">
        <v>0.79060185185185183</v>
      </c>
      <c r="G276" s="4">
        <v>12</v>
      </c>
      <c r="H276" s="4">
        <v>12</v>
      </c>
      <c r="I276" s="4" t="s">
        <v>45</v>
      </c>
      <c r="J276" s="4" t="s">
        <v>15</v>
      </c>
      <c r="K276" s="4" t="s">
        <v>198</v>
      </c>
      <c r="L276" s="7" t="s">
        <v>199</v>
      </c>
    </row>
    <row r="277" spans="1:12" ht="29.4" thickBot="1" x14ac:dyDescent="0.35">
      <c r="A277" s="8">
        <v>276</v>
      </c>
      <c r="B277" s="9" t="s">
        <v>48</v>
      </c>
      <c r="C277" s="9" t="s">
        <v>515</v>
      </c>
      <c r="D277" s="9">
        <v>1</v>
      </c>
      <c r="E277" s="9" t="s">
        <v>516</v>
      </c>
      <c r="F277" s="11">
        <v>0.5264699074074074</v>
      </c>
      <c r="G277" s="9">
        <v>20.75</v>
      </c>
      <c r="H277" s="9">
        <v>20.75</v>
      </c>
      <c r="I277" s="9" t="s">
        <v>20</v>
      </c>
      <c r="J277" s="9" t="s">
        <v>31</v>
      </c>
      <c r="K277" s="9" t="s">
        <v>50</v>
      </c>
      <c r="L277" s="12" t="s">
        <v>51</v>
      </c>
    </row>
    <row r="278" spans="1:12" ht="29.4" thickBot="1" x14ac:dyDescent="0.35">
      <c r="A278" s="3">
        <v>277</v>
      </c>
      <c r="B278" s="4" t="s">
        <v>221</v>
      </c>
      <c r="C278" s="4" t="s">
        <v>300</v>
      </c>
      <c r="D278" s="4">
        <v>1</v>
      </c>
      <c r="E278" s="4" t="s">
        <v>516</v>
      </c>
      <c r="F278" s="6">
        <v>0.79651620370370368</v>
      </c>
      <c r="G278" s="4">
        <v>12</v>
      </c>
      <c r="H278" s="4">
        <v>12</v>
      </c>
      <c r="I278" s="4" t="s">
        <v>45</v>
      </c>
      <c r="J278" s="4" t="s">
        <v>26</v>
      </c>
      <c r="K278" s="4" t="s">
        <v>224</v>
      </c>
      <c r="L278" s="7" t="s">
        <v>225</v>
      </c>
    </row>
    <row r="279" spans="1:12" ht="29.4" thickBot="1" x14ac:dyDescent="0.35">
      <c r="A279" s="8">
        <v>278</v>
      </c>
      <c r="B279" s="9" t="s">
        <v>18</v>
      </c>
      <c r="C279" s="9" t="s">
        <v>517</v>
      </c>
      <c r="D279" s="9">
        <v>1</v>
      </c>
      <c r="E279" s="10">
        <v>42043</v>
      </c>
      <c r="F279" s="11">
        <v>0.5740277777777778</v>
      </c>
      <c r="G279" s="9">
        <v>20.75</v>
      </c>
      <c r="H279" s="9">
        <v>20.75</v>
      </c>
      <c r="I279" s="9" t="s">
        <v>20</v>
      </c>
      <c r="J279" s="9" t="s">
        <v>21</v>
      </c>
      <c r="K279" s="9" t="s">
        <v>22</v>
      </c>
      <c r="L279" s="12" t="s">
        <v>23</v>
      </c>
    </row>
    <row r="280" spans="1:12" ht="29.4" thickBot="1" x14ac:dyDescent="0.35">
      <c r="A280" s="3">
        <v>279</v>
      </c>
      <c r="B280" s="4" t="s">
        <v>518</v>
      </c>
      <c r="C280" s="4" t="s">
        <v>519</v>
      </c>
      <c r="D280" s="4">
        <v>1</v>
      </c>
      <c r="E280" s="5">
        <v>42043</v>
      </c>
      <c r="F280" s="6">
        <v>0.86274305555555553</v>
      </c>
      <c r="G280" s="4">
        <v>20.5</v>
      </c>
      <c r="H280" s="4">
        <v>20.5</v>
      </c>
      <c r="I280" s="4" t="s">
        <v>20</v>
      </c>
      <c r="J280" s="4" t="s">
        <v>15</v>
      </c>
      <c r="K280" s="4" t="s">
        <v>210</v>
      </c>
      <c r="L280" s="7" t="s">
        <v>211</v>
      </c>
    </row>
    <row r="281" spans="1:12" ht="29.4" thickBot="1" x14ac:dyDescent="0.35">
      <c r="A281" s="8">
        <v>280</v>
      </c>
      <c r="B281" s="9" t="s">
        <v>195</v>
      </c>
      <c r="C281" s="9" t="s">
        <v>520</v>
      </c>
      <c r="D281" s="9">
        <v>1</v>
      </c>
      <c r="E281" s="10">
        <v>42071</v>
      </c>
      <c r="F281" s="11">
        <v>0.79484953703703709</v>
      </c>
      <c r="G281" s="9">
        <v>12</v>
      </c>
      <c r="H281" s="9">
        <v>12</v>
      </c>
      <c r="I281" s="9" t="s">
        <v>45</v>
      </c>
      <c r="J281" s="9" t="s">
        <v>15</v>
      </c>
      <c r="K281" s="9" t="s">
        <v>198</v>
      </c>
      <c r="L281" s="12" t="s">
        <v>199</v>
      </c>
    </row>
    <row r="282" spans="1:12" ht="43.8" thickBot="1" x14ac:dyDescent="0.35">
      <c r="A282" s="3">
        <v>281</v>
      </c>
      <c r="B282" s="4" t="s">
        <v>287</v>
      </c>
      <c r="C282" s="4" t="s">
        <v>521</v>
      </c>
      <c r="D282" s="4">
        <v>1</v>
      </c>
      <c r="E282" s="5">
        <v>42132</v>
      </c>
      <c r="F282" s="6">
        <v>0.48842592592592593</v>
      </c>
      <c r="G282" s="4">
        <v>16.75</v>
      </c>
      <c r="H282" s="4">
        <v>16.75</v>
      </c>
      <c r="I282" s="4" t="s">
        <v>14</v>
      </c>
      <c r="J282" s="4" t="s">
        <v>21</v>
      </c>
      <c r="K282" s="4" t="s">
        <v>87</v>
      </c>
      <c r="L282" s="7" t="s">
        <v>88</v>
      </c>
    </row>
    <row r="283" spans="1:12" ht="29.4" thickBot="1" x14ac:dyDescent="0.35">
      <c r="A283" s="8">
        <v>282</v>
      </c>
      <c r="B283" s="9" t="s">
        <v>151</v>
      </c>
      <c r="C283" s="9" t="s">
        <v>522</v>
      </c>
      <c r="D283" s="9">
        <v>1</v>
      </c>
      <c r="E283" s="10">
        <v>42132</v>
      </c>
      <c r="F283" s="11">
        <v>0.77638888888888891</v>
      </c>
      <c r="G283" s="9">
        <v>20.5</v>
      </c>
      <c r="H283" s="9">
        <v>20.5</v>
      </c>
      <c r="I283" s="9" t="s">
        <v>20</v>
      </c>
      <c r="J283" s="9" t="s">
        <v>15</v>
      </c>
      <c r="K283" s="9" t="s">
        <v>37</v>
      </c>
      <c r="L283" s="12" t="s">
        <v>38</v>
      </c>
    </row>
    <row r="284" spans="1:12" ht="29.4" thickBot="1" x14ac:dyDescent="0.35">
      <c r="A284" s="3">
        <v>283</v>
      </c>
      <c r="B284" s="4" t="s">
        <v>77</v>
      </c>
      <c r="C284" s="4" t="s">
        <v>523</v>
      </c>
      <c r="D284" s="4">
        <v>1</v>
      </c>
      <c r="E284" s="5">
        <v>42163</v>
      </c>
      <c r="F284" s="6">
        <v>0.50082175925925931</v>
      </c>
      <c r="G284" s="4">
        <v>12.25</v>
      </c>
      <c r="H284" s="4">
        <v>12.25</v>
      </c>
      <c r="I284" s="4" t="s">
        <v>45</v>
      </c>
      <c r="J284" s="4" t="s">
        <v>31</v>
      </c>
      <c r="K284" s="4" t="s">
        <v>80</v>
      </c>
      <c r="L284" s="7" t="s">
        <v>81</v>
      </c>
    </row>
    <row r="285" spans="1:12" ht="29.4" thickBot="1" x14ac:dyDescent="0.35">
      <c r="A285" s="8">
        <v>284</v>
      </c>
      <c r="B285" s="9" t="s">
        <v>247</v>
      </c>
      <c r="C285" s="9" t="s">
        <v>524</v>
      </c>
      <c r="D285" s="9">
        <v>1</v>
      </c>
      <c r="E285" s="10">
        <v>42163</v>
      </c>
      <c r="F285" s="11">
        <v>0.59255787037037033</v>
      </c>
      <c r="G285" s="9">
        <v>12</v>
      </c>
      <c r="H285" s="9">
        <v>12</v>
      </c>
      <c r="I285" s="9" t="s">
        <v>45</v>
      </c>
      <c r="J285" s="9" t="s">
        <v>26</v>
      </c>
      <c r="K285" s="9" t="s">
        <v>138</v>
      </c>
      <c r="L285" s="12" t="s">
        <v>139</v>
      </c>
    </row>
    <row r="286" spans="1:12" ht="43.8" thickBot="1" x14ac:dyDescent="0.35">
      <c r="A286" s="3">
        <v>285</v>
      </c>
      <c r="B286" s="4" t="s">
        <v>347</v>
      </c>
      <c r="C286" s="4" t="s">
        <v>525</v>
      </c>
      <c r="D286" s="4">
        <v>1</v>
      </c>
      <c r="E286" s="5">
        <v>42163</v>
      </c>
      <c r="F286" s="6">
        <v>0.7318634259259259</v>
      </c>
      <c r="G286" s="4">
        <v>16</v>
      </c>
      <c r="H286" s="4">
        <v>16</v>
      </c>
      <c r="I286" s="4" t="s">
        <v>14</v>
      </c>
      <c r="J286" s="4" t="s">
        <v>26</v>
      </c>
      <c r="K286" s="4" t="s">
        <v>108</v>
      </c>
      <c r="L286" s="7" t="s">
        <v>109</v>
      </c>
    </row>
    <row r="287" spans="1:12" ht="43.8" thickBot="1" x14ac:dyDescent="0.35">
      <c r="A287" s="8">
        <v>286</v>
      </c>
      <c r="B287" s="9" t="s">
        <v>24</v>
      </c>
      <c r="C287" s="9" t="s">
        <v>526</v>
      </c>
      <c r="D287" s="9">
        <v>1</v>
      </c>
      <c r="E287" s="10">
        <v>42193</v>
      </c>
      <c r="F287" s="11">
        <v>0.82601851851851849</v>
      </c>
      <c r="G287" s="9">
        <v>18.5</v>
      </c>
      <c r="H287" s="9">
        <v>18.5</v>
      </c>
      <c r="I287" s="9" t="s">
        <v>20</v>
      </c>
      <c r="J287" s="9" t="s">
        <v>26</v>
      </c>
      <c r="K287" s="9" t="s">
        <v>27</v>
      </c>
      <c r="L287" s="12" t="s">
        <v>28</v>
      </c>
    </row>
    <row r="288" spans="1:12" ht="43.8" thickBot="1" x14ac:dyDescent="0.35">
      <c r="A288" s="3">
        <v>287</v>
      </c>
      <c r="B288" s="4" t="s">
        <v>133</v>
      </c>
      <c r="C288" s="4" t="s">
        <v>527</v>
      </c>
      <c r="D288" s="4">
        <v>1</v>
      </c>
      <c r="E288" s="5">
        <v>42193</v>
      </c>
      <c r="F288" s="6">
        <v>0.87600694444444449</v>
      </c>
      <c r="G288" s="4">
        <v>16</v>
      </c>
      <c r="H288" s="4">
        <v>16</v>
      </c>
      <c r="I288" s="4" t="s">
        <v>14</v>
      </c>
      <c r="J288" s="4" t="s">
        <v>26</v>
      </c>
      <c r="K288" s="4" t="s">
        <v>56</v>
      </c>
      <c r="L288" s="7" t="s">
        <v>57</v>
      </c>
    </row>
    <row r="289" spans="1:12" ht="43.8" thickBot="1" x14ac:dyDescent="0.35">
      <c r="A289" s="8">
        <v>288</v>
      </c>
      <c r="B289" s="9" t="s">
        <v>275</v>
      </c>
      <c r="C289" s="9" t="s">
        <v>528</v>
      </c>
      <c r="D289" s="9">
        <v>1</v>
      </c>
      <c r="E289" s="10">
        <v>42224</v>
      </c>
      <c r="F289" s="11">
        <v>0.68082175925925925</v>
      </c>
      <c r="G289" s="9">
        <v>20.25</v>
      </c>
      <c r="H289" s="9">
        <v>20.25</v>
      </c>
      <c r="I289" s="9" t="s">
        <v>20</v>
      </c>
      <c r="J289" s="9" t="s">
        <v>26</v>
      </c>
      <c r="K289" s="9" t="s">
        <v>56</v>
      </c>
      <c r="L289" s="12" t="s">
        <v>57</v>
      </c>
    </row>
    <row r="290" spans="1:12" ht="29.4" thickBot="1" x14ac:dyDescent="0.35">
      <c r="A290" s="3">
        <v>289</v>
      </c>
      <c r="B290" s="4" t="s">
        <v>310</v>
      </c>
      <c r="C290" s="4" t="s">
        <v>529</v>
      </c>
      <c r="D290" s="4">
        <v>1</v>
      </c>
      <c r="E290" s="5">
        <v>42224</v>
      </c>
      <c r="F290" s="6">
        <v>0.84280092592592593</v>
      </c>
      <c r="G290" s="4">
        <v>12</v>
      </c>
      <c r="H290" s="4">
        <v>12</v>
      </c>
      <c r="I290" s="4" t="s">
        <v>45</v>
      </c>
      <c r="J290" s="4" t="s">
        <v>26</v>
      </c>
      <c r="K290" s="4" t="s">
        <v>313</v>
      </c>
      <c r="L290" s="7" t="s">
        <v>314</v>
      </c>
    </row>
    <row r="291" spans="1:12" ht="29.4" thickBot="1" x14ac:dyDescent="0.35">
      <c r="A291" s="8">
        <v>290</v>
      </c>
      <c r="B291" s="9" t="s">
        <v>228</v>
      </c>
      <c r="C291" s="9" t="s">
        <v>530</v>
      </c>
      <c r="D291" s="9">
        <v>1</v>
      </c>
      <c r="E291" s="10">
        <v>42224</v>
      </c>
      <c r="F291" s="11">
        <v>0.93746527777777777</v>
      </c>
      <c r="G291" s="9">
        <v>16.5</v>
      </c>
      <c r="H291" s="9">
        <v>16.5</v>
      </c>
      <c r="I291" s="9" t="s">
        <v>14</v>
      </c>
      <c r="J291" s="9" t="s">
        <v>31</v>
      </c>
      <c r="K291" s="9" t="s">
        <v>50</v>
      </c>
      <c r="L291" s="12" t="s">
        <v>51</v>
      </c>
    </row>
    <row r="292" spans="1:12" ht="29.4" thickBot="1" x14ac:dyDescent="0.35">
      <c r="A292" s="3">
        <v>291</v>
      </c>
      <c r="B292" s="4" t="s">
        <v>531</v>
      </c>
      <c r="C292" s="4" t="s">
        <v>532</v>
      </c>
      <c r="D292" s="4">
        <v>1</v>
      </c>
      <c r="E292" s="5">
        <v>42255</v>
      </c>
      <c r="F292" s="6">
        <v>0.59180555555555558</v>
      </c>
      <c r="G292" s="4">
        <v>12</v>
      </c>
      <c r="H292" s="4">
        <v>12</v>
      </c>
      <c r="I292" s="4" t="s">
        <v>45</v>
      </c>
      <c r="J292" s="4" t="s">
        <v>15</v>
      </c>
      <c r="K292" s="4" t="s">
        <v>206</v>
      </c>
      <c r="L292" s="7" t="s">
        <v>207</v>
      </c>
    </row>
    <row r="293" spans="1:12" ht="29.4" thickBot="1" x14ac:dyDescent="0.35">
      <c r="A293" s="8">
        <v>292</v>
      </c>
      <c r="B293" s="9" t="s">
        <v>271</v>
      </c>
      <c r="C293" s="9" t="s">
        <v>533</v>
      </c>
      <c r="D293" s="9">
        <v>1</v>
      </c>
      <c r="E293" s="10">
        <v>42255</v>
      </c>
      <c r="F293" s="11">
        <v>0.77194444444444443</v>
      </c>
      <c r="G293" s="9">
        <v>16</v>
      </c>
      <c r="H293" s="9">
        <v>16</v>
      </c>
      <c r="I293" s="9" t="s">
        <v>14</v>
      </c>
      <c r="J293" s="9" t="s">
        <v>26</v>
      </c>
      <c r="K293" s="9" t="s">
        <v>224</v>
      </c>
      <c r="L293" s="12" t="s">
        <v>225</v>
      </c>
    </row>
    <row r="294" spans="1:12" ht="29.4" thickBot="1" x14ac:dyDescent="0.35">
      <c r="A294" s="3">
        <v>293</v>
      </c>
      <c r="B294" s="4" t="s">
        <v>217</v>
      </c>
      <c r="C294" s="4" t="s">
        <v>534</v>
      </c>
      <c r="D294" s="4">
        <v>1</v>
      </c>
      <c r="E294" s="5">
        <v>42285</v>
      </c>
      <c r="F294" s="6">
        <v>0.52567129629629628</v>
      </c>
      <c r="G294" s="4">
        <v>20.75</v>
      </c>
      <c r="H294" s="4">
        <v>20.75</v>
      </c>
      <c r="I294" s="4" t="s">
        <v>20</v>
      </c>
      <c r="J294" s="4" t="s">
        <v>26</v>
      </c>
      <c r="K294" s="4" t="s">
        <v>189</v>
      </c>
      <c r="L294" s="7" t="s">
        <v>190</v>
      </c>
    </row>
    <row r="295" spans="1:12" ht="29.4" thickBot="1" x14ac:dyDescent="0.35">
      <c r="A295" s="8">
        <v>294</v>
      </c>
      <c r="B295" s="9" t="s">
        <v>34</v>
      </c>
      <c r="C295" s="9" t="s">
        <v>535</v>
      </c>
      <c r="D295" s="9">
        <v>1</v>
      </c>
      <c r="E295" s="10">
        <v>42285</v>
      </c>
      <c r="F295" s="11">
        <v>0.6746064814814815</v>
      </c>
      <c r="G295" s="9">
        <v>25.5</v>
      </c>
      <c r="H295" s="9">
        <v>25.5</v>
      </c>
      <c r="I295" s="9" t="s">
        <v>36</v>
      </c>
      <c r="J295" s="9" t="s">
        <v>15</v>
      </c>
      <c r="K295" s="9" t="s">
        <v>37</v>
      </c>
      <c r="L295" s="12" t="s">
        <v>38</v>
      </c>
    </row>
    <row r="296" spans="1:12" ht="15" thickBot="1" x14ac:dyDescent="0.35">
      <c r="A296" s="3">
        <v>295</v>
      </c>
      <c r="B296" s="4" t="s">
        <v>213</v>
      </c>
      <c r="C296" s="4" t="s">
        <v>536</v>
      </c>
      <c r="D296" s="4">
        <v>1</v>
      </c>
      <c r="E296" s="5">
        <v>42316</v>
      </c>
      <c r="F296" s="6">
        <v>0.89128472222222221</v>
      </c>
      <c r="G296" s="4">
        <v>13.25</v>
      </c>
      <c r="H296" s="4">
        <v>13.25</v>
      </c>
      <c r="I296" s="4" t="s">
        <v>14</v>
      </c>
      <c r="J296" s="4" t="s">
        <v>15</v>
      </c>
      <c r="K296" s="4" t="s">
        <v>120</v>
      </c>
      <c r="L296" s="7" t="s">
        <v>121</v>
      </c>
    </row>
    <row r="297" spans="1:12" ht="29.4" thickBot="1" x14ac:dyDescent="0.35">
      <c r="A297" s="8">
        <v>296</v>
      </c>
      <c r="B297" s="9" t="s">
        <v>18</v>
      </c>
      <c r="C297" s="9" t="s">
        <v>537</v>
      </c>
      <c r="D297" s="9">
        <v>1</v>
      </c>
      <c r="E297" s="10">
        <v>42346</v>
      </c>
      <c r="F297" s="11">
        <v>0.89856481481481476</v>
      </c>
      <c r="G297" s="9">
        <v>20.75</v>
      </c>
      <c r="H297" s="9">
        <v>20.75</v>
      </c>
      <c r="I297" s="9" t="s">
        <v>20</v>
      </c>
      <c r="J297" s="9" t="s">
        <v>21</v>
      </c>
      <c r="K297" s="9" t="s">
        <v>22</v>
      </c>
      <c r="L297" s="12" t="s">
        <v>23</v>
      </c>
    </row>
    <row r="298" spans="1:12" ht="15" thickBot="1" x14ac:dyDescent="0.35">
      <c r="A298" s="3">
        <v>297</v>
      </c>
      <c r="B298" s="4" t="s">
        <v>39</v>
      </c>
      <c r="C298" s="4" t="s">
        <v>538</v>
      </c>
      <c r="D298" s="4">
        <v>1</v>
      </c>
      <c r="E298" s="4" t="s">
        <v>539</v>
      </c>
      <c r="F298" s="6">
        <v>0.58884259259259264</v>
      </c>
      <c r="G298" s="4">
        <v>15.25</v>
      </c>
      <c r="H298" s="4">
        <v>15.25</v>
      </c>
      <c r="I298" s="4" t="s">
        <v>20</v>
      </c>
      <c r="J298" s="4" t="s">
        <v>15</v>
      </c>
      <c r="K298" s="4" t="s">
        <v>41</v>
      </c>
      <c r="L298" s="7" t="s">
        <v>42</v>
      </c>
    </row>
    <row r="299" spans="1:12" ht="29.4" thickBot="1" x14ac:dyDescent="0.35">
      <c r="A299" s="8">
        <v>298</v>
      </c>
      <c r="B299" s="9" t="s">
        <v>12</v>
      </c>
      <c r="C299" s="9" t="s">
        <v>540</v>
      </c>
      <c r="D299" s="9">
        <v>1</v>
      </c>
      <c r="E299" s="9" t="s">
        <v>541</v>
      </c>
      <c r="F299" s="11">
        <v>0.52452546296296299</v>
      </c>
      <c r="G299" s="9">
        <v>16</v>
      </c>
      <c r="H299" s="9">
        <v>16</v>
      </c>
      <c r="I299" s="9" t="s">
        <v>14</v>
      </c>
      <c r="J299" s="9" t="s">
        <v>15</v>
      </c>
      <c r="K299" s="9" t="s">
        <v>16</v>
      </c>
      <c r="L299" s="12" t="s">
        <v>17</v>
      </c>
    </row>
    <row r="300" spans="1:12" ht="43.8" thickBot="1" x14ac:dyDescent="0.35">
      <c r="A300" s="3">
        <v>299</v>
      </c>
      <c r="B300" s="4" t="s">
        <v>97</v>
      </c>
      <c r="C300" s="4" t="s">
        <v>542</v>
      </c>
      <c r="D300" s="4">
        <v>1</v>
      </c>
      <c r="E300" s="4" t="s">
        <v>541</v>
      </c>
      <c r="F300" s="6">
        <v>0.70129629629629631</v>
      </c>
      <c r="G300" s="4">
        <v>12.75</v>
      </c>
      <c r="H300" s="4">
        <v>12.75</v>
      </c>
      <c r="I300" s="4" t="s">
        <v>45</v>
      </c>
      <c r="J300" s="4" t="s">
        <v>21</v>
      </c>
      <c r="K300" s="4" t="s">
        <v>100</v>
      </c>
      <c r="L300" s="7" t="s">
        <v>101</v>
      </c>
    </row>
    <row r="301" spans="1:12" ht="29.4" thickBot="1" x14ac:dyDescent="0.35">
      <c r="A301" s="8">
        <v>300</v>
      </c>
      <c r="B301" s="9" t="s">
        <v>43</v>
      </c>
      <c r="C301" s="9" t="s">
        <v>543</v>
      </c>
      <c r="D301" s="9">
        <v>1</v>
      </c>
      <c r="E301" s="9" t="s">
        <v>544</v>
      </c>
      <c r="F301" s="11">
        <v>0.84638888888888886</v>
      </c>
      <c r="G301" s="9">
        <v>12.5</v>
      </c>
      <c r="H301" s="9">
        <v>12.5</v>
      </c>
      <c r="I301" s="9" t="s">
        <v>45</v>
      </c>
      <c r="J301" s="9" t="s">
        <v>31</v>
      </c>
      <c r="K301" s="9" t="s">
        <v>46</v>
      </c>
      <c r="L301" s="12" t="s">
        <v>47</v>
      </c>
    </row>
    <row r="302" spans="1:12" ht="43.8" thickBot="1" x14ac:dyDescent="0.35">
      <c r="A302" s="3">
        <v>301</v>
      </c>
      <c r="B302" s="4" t="s">
        <v>347</v>
      </c>
      <c r="C302" s="4" t="s">
        <v>545</v>
      </c>
      <c r="D302" s="4">
        <v>1</v>
      </c>
      <c r="E302" s="4" t="s">
        <v>546</v>
      </c>
      <c r="F302" s="6">
        <v>0.69760416666666669</v>
      </c>
      <c r="G302" s="4">
        <v>16</v>
      </c>
      <c r="H302" s="4">
        <v>16</v>
      </c>
      <c r="I302" s="4" t="s">
        <v>14</v>
      </c>
      <c r="J302" s="4" t="s">
        <v>26</v>
      </c>
      <c r="K302" s="4" t="s">
        <v>108</v>
      </c>
      <c r="L302" s="7" t="s">
        <v>109</v>
      </c>
    </row>
    <row r="303" spans="1:12" ht="29.4" thickBot="1" x14ac:dyDescent="0.35">
      <c r="A303" s="8">
        <v>302</v>
      </c>
      <c r="B303" s="9" t="s">
        <v>297</v>
      </c>
      <c r="C303" s="9" t="s">
        <v>547</v>
      </c>
      <c r="D303" s="9">
        <v>1</v>
      </c>
      <c r="E303" s="9" t="s">
        <v>546</v>
      </c>
      <c r="F303" s="11">
        <v>0.71861111111111109</v>
      </c>
      <c r="G303" s="9">
        <v>16.75</v>
      </c>
      <c r="H303" s="9">
        <v>16.75</v>
      </c>
      <c r="I303" s="9" t="s">
        <v>14</v>
      </c>
      <c r="J303" s="9" t="s">
        <v>21</v>
      </c>
      <c r="K303" s="9" t="s">
        <v>22</v>
      </c>
      <c r="L303" s="12" t="s">
        <v>23</v>
      </c>
    </row>
    <row r="304" spans="1:12" ht="29.4" thickBot="1" x14ac:dyDescent="0.35">
      <c r="A304" s="3">
        <v>303</v>
      </c>
      <c r="B304" s="4" t="s">
        <v>77</v>
      </c>
      <c r="C304" s="4" t="s">
        <v>548</v>
      </c>
      <c r="D304" s="4">
        <v>1</v>
      </c>
      <c r="E304" s="4" t="s">
        <v>549</v>
      </c>
      <c r="F304" s="6">
        <v>0.61293981481481485</v>
      </c>
      <c r="G304" s="4">
        <v>12.25</v>
      </c>
      <c r="H304" s="4">
        <v>12.25</v>
      </c>
      <c r="I304" s="4" t="s">
        <v>45</v>
      </c>
      <c r="J304" s="4" t="s">
        <v>31</v>
      </c>
      <c r="K304" s="4" t="s">
        <v>80</v>
      </c>
      <c r="L304" s="7" t="s">
        <v>81</v>
      </c>
    </row>
    <row r="305" spans="1:12" ht="29.4" thickBot="1" x14ac:dyDescent="0.35">
      <c r="A305" s="8">
        <v>304</v>
      </c>
      <c r="B305" s="9" t="s">
        <v>339</v>
      </c>
      <c r="C305" s="9" t="s">
        <v>550</v>
      </c>
      <c r="D305" s="9">
        <v>1</v>
      </c>
      <c r="E305" s="9" t="s">
        <v>549</v>
      </c>
      <c r="F305" s="11">
        <v>0.65770833333333334</v>
      </c>
      <c r="G305" s="9">
        <v>12.75</v>
      </c>
      <c r="H305" s="9">
        <v>12.75</v>
      </c>
      <c r="I305" s="9" t="s">
        <v>45</v>
      </c>
      <c r="J305" s="9" t="s">
        <v>21</v>
      </c>
      <c r="K305" s="9" t="s">
        <v>22</v>
      </c>
      <c r="L305" s="12" t="s">
        <v>23</v>
      </c>
    </row>
    <row r="306" spans="1:12" ht="43.8" thickBot="1" x14ac:dyDescent="0.35">
      <c r="A306" s="3">
        <v>305</v>
      </c>
      <c r="B306" s="4" t="s">
        <v>133</v>
      </c>
      <c r="C306" s="4" t="s">
        <v>551</v>
      </c>
      <c r="D306" s="4">
        <v>1</v>
      </c>
      <c r="E306" s="4" t="s">
        <v>549</v>
      </c>
      <c r="F306" s="6">
        <v>0.69740740740740736</v>
      </c>
      <c r="G306" s="4">
        <v>16</v>
      </c>
      <c r="H306" s="4">
        <v>16</v>
      </c>
      <c r="I306" s="4" t="s">
        <v>14</v>
      </c>
      <c r="J306" s="4" t="s">
        <v>26</v>
      </c>
      <c r="K306" s="4" t="s">
        <v>56</v>
      </c>
      <c r="L306" s="7" t="s">
        <v>57</v>
      </c>
    </row>
    <row r="307" spans="1:12" ht="29.4" thickBot="1" x14ac:dyDescent="0.35">
      <c r="A307" s="8">
        <v>306</v>
      </c>
      <c r="B307" s="9" t="s">
        <v>140</v>
      </c>
      <c r="C307" s="9" t="s">
        <v>552</v>
      </c>
      <c r="D307" s="9">
        <v>1</v>
      </c>
      <c r="E307" s="9" t="s">
        <v>549</v>
      </c>
      <c r="F307" s="11">
        <v>0.84600694444444446</v>
      </c>
      <c r="G307" s="9">
        <v>12.5</v>
      </c>
      <c r="H307" s="9">
        <v>12.5</v>
      </c>
      <c r="I307" s="9" t="s">
        <v>45</v>
      </c>
      <c r="J307" s="9" t="s">
        <v>31</v>
      </c>
      <c r="K307" s="9" t="s">
        <v>95</v>
      </c>
      <c r="L307" s="12" t="s">
        <v>96</v>
      </c>
    </row>
    <row r="308" spans="1:12" ht="29.4" thickBot="1" x14ac:dyDescent="0.35">
      <c r="A308" s="3">
        <v>307</v>
      </c>
      <c r="B308" s="4" t="s">
        <v>173</v>
      </c>
      <c r="C308" s="4" t="s">
        <v>553</v>
      </c>
      <c r="D308" s="4">
        <v>1</v>
      </c>
      <c r="E308" s="4" t="s">
        <v>554</v>
      </c>
      <c r="F308" s="6">
        <v>0.70923611111111107</v>
      </c>
      <c r="G308" s="4">
        <v>16.25</v>
      </c>
      <c r="H308" s="4">
        <v>16.25</v>
      </c>
      <c r="I308" s="4" t="s">
        <v>14</v>
      </c>
      <c r="J308" s="4" t="s">
        <v>31</v>
      </c>
      <c r="K308" s="4" t="s">
        <v>80</v>
      </c>
      <c r="L308" s="7" t="s">
        <v>81</v>
      </c>
    </row>
    <row r="309" spans="1:12" ht="29.4" thickBot="1" x14ac:dyDescent="0.35">
      <c r="A309" s="8">
        <v>308</v>
      </c>
      <c r="B309" s="9" t="s">
        <v>201</v>
      </c>
      <c r="C309" s="9" t="s">
        <v>555</v>
      </c>
      <c r="D309" s="9">
        <v>1</v>
      </c>
      <c r="E309" s="9" t="s">
        <v>556</v>
      </c>
      <c r="F309" s="11">
        <v>0.51209490740740737</v>
      </c>
      <c r="G309" s="9">
        <v>12</v>
      </c>
      <c r="H309" s="9">
        <v>12</v>
      </c>
      <c r="I309" s="9" t="s">
        <v>45</v>
      </c>
      <c r="J309" s="9" t="s">
        <v>15</v>
      </c>
      <c r="K309" s="9" t="s">
        <v>16</v>
      </c>
      <c r="L309" s="12" t="s">
        <v>17</v>
      </c>
    </row>
    <row r="310" spans="1:12" ht="29.4" thickBot="1" x14ac:dyDescent="0.35">
      <c r="A310" s="3">
        <v>309</v>
      </c>
      <c r="B310" s="4" t="s">
        <v>195</v>
      </c>
      <c r="C310" s="4" t="s">
        <v>248</v>
      </c>
      <c r="D310" s="4">
        <v>1</v>
      </c>
      <c r="E310" s="4" t="s">
        <v>556</v>
      </c>
      <c r="F310" s="6">
        <v>0.7265625</v>
      </c>
      <c r="G310" s="4">
        <v>12</v>
      </c>
      <c r="H310" s="4">
        <v>12</v>
      </c>
      <c r="I310" s="4" t="s">
        <v>45</v>
      </c>
      <c r="J310" s="4" t="s">
        <v>15</v>
      </c>
      <c r="K310" s="4" t="s">
        <v>198</v>
      </c>
      <c r="L310" s="7" t="s">
        <v>199</v>
      </c>
    </row>
    <row r="311" spans="1:12" ht="29.4" thickBot="1" x14ac:dyDescent="0.35">
      <c r="A311" s="8">
        <v>310</v>
      </c>
      <c r="B311" s="9" t="s">
        <v>204</v>
      </c>
      <c r="C311" s="9" t="s">
        <v>557</v>
      </c>
      <c r="D311" s="9">
        <v>1</v>
      </c>
      <c r="E311" s="9" t="s">
        <v>556</v>
      </c>
      <c r="F311" s="11">
        <v>0.84789351851851846</v>
      </c>
      <c r="G311" s="9">
        <v>20.5</v>
      </c>
      <c r="H311" s="9">
        <v>20.5</v>
      </c>
      <c r="I311" s="9" t="s">
        <v>20</v>
      </c>
      <c r="J311" s="9" t="s">
        <v>15</v>
      </c>
      <c r="K311" s="9" t="s">
        <v>206</v>
      </c>
      <c r="L311" s="12" t="s">
        <v>207</v>
      </c>
    </row>
    <row r="312" spans="1:12" ht="29.4" thickBot="1" x14ac:dyDescent="0.35">
      <c r="A312" s="3">
        <v>311</v>
      </c>
      <c r="B312" s="4" t="s">
        <v>344</v>
      </c>
      <c r="C312" s="4" t="s">
        <v>558</v>
      </c>
      <c r="D312" s="4">
        <v>1</v>
      </c>
      <c r="E312" s="4" t="s">
        <v>559</v>
      </c>
      <c r="F312" s="6">
        <v>0.68478009259259254</v>
      </c>
      <c r="G312" s="4">
        <v>16.5</v>
      </c>
      <c r="H312" s="4">
        <v>16.5</v>
      </c>
      <c r="I312" s="4" t="s">
        <v>14</v>
      </c>
      <c r="J312" s="4" t="s">
        <v>31</v>
      </c>
      <c r="K312" s="4" t="s">
        <v>32</v>
      </c>
      <c r="L312" s="7" t="s">
        <v>33</v>
      </c>
    </row>
    <row r="313" spans="1:12" ht="43.8" thickBot="1" x14ac:dyDescent="0.35">
      <c r="A313" s="8">
        <v>312</v>
      </c>
      <c r="B313" s="9" t="s">
        <v>184</v>
      </c>
      <c r="C313" s="9" t="s">
        <v>560</v>
      </c>
      <c r="D313" s="9">
        <v>1</v>
      </c>
      <c r="E313" s="9" t="s">
        <v>559</v>
      </c>
      <c r="F313" s="11">
        <v>0.72945601851851849</v>
      </c>
      <c r="G313" s="9">
        <v>20.75</v>
      </c>
      <c r="H313" s="9">
        <v>20.75</v>
      </c>
      <c r="I313" s="9" t="s">
        <v>20</v>
      </c>
      <c r="J313" s="9" t="s">
        <v>21</v>
      </c>
      <c r="K313" s="9" t="s">
        <v>100</v>
      </c>
      <c r="L313" s="12" t="s">
        <v>101</v>
      </c>
    </row>
    <row r="314" spans="1:12" ht="29.4" thickBot="1" x14ac:dyDescent="0.35">
      <c r="A314" s="3">
        <v>313</v>
      </c>
      <c r="B314" s="4" t="s">
        <v>12</v>
      </c>
      <c r="C314" s="4" t="s">
        <v>561</v>
      </c>
      <c r="D314" s="4">
        <v>1</v>
      </c>
      <c r="E314" s="4" t="s">
        <v>559</v>
      </c>
      <c r="F314" s="6">
        <v>0.92962962962962958</v>
      </c>
      <c r="G314" s="4">
        <v>16</v>
      </c>
      <c r="H314" s="4">
        <v>16</v>
      </c>
      <c r="I314" s="4" t="s">
        <v>14</v>
      </c>
      <c r="J314" s="4" t="s">
        <v>15</v>
      </c>
      <c r="K314" s="4" t="s">
        <v>16</v>
      </c>
      <c r="L314" s="7" t="s">
        <v>17</v>
      </c>
    </row>
    <row r="315" spans="1:12" ht="15" thickBot="1" x14ac:dyDescent="0.35">
      <c r="A315" s="8">
        <v>314</v>
      </c>
      <c r="B315" s="9" t="s">
        <v>39</v>
      </c>
      <c r="C315" s="9" t="s">
        <v>562</v>
      </c>
      <c r="D315" s="9">
        <v>1</v>
      </c>
      <c r="E315" s="9" t="s">
        <v>563</v>
      </c>
      <c r="F315" s="11">
        <v>0.48472222222222222</v>
      </c>
      <c r="G315" s="9">
        <v>15.25</v>
      </c>
      <c r="H315" s="9">
        <v>15.25</v>
      </c>
      <c r="I315" s="9" t="s">
        <v>20</v>
      </c>
      <c r="J315" s="9" t="s">
        <v>15</v>
      </c>
      <c r="K315" s="9" t="s">
        <v>41</v>
      </c>
      <c r="L315" s="12" t="s">
        <v>42</v>
      </c>
    </row>
    <row r="316" spans="1:12" ht="15" thickBot="1" x14ac:dyDescent="0.35">
      <c r="A316" s="3">
        <v>315</v>
      </c>
      <c r="B316" s="4" t="s">
        <v>213</v>
      </c>
      <c r="C316" s="4" t="s">
        <v>488</v>
      </c>
      <c r="D316" s="4">
        <v>1</v>
      </c>
      <c r="E316" s="4" t="s">
        <v>563</v>
      </c>
      <c r="F316" s="6">
        <v>0.63249999999999995</v>
      </c>
      <c r="G316" s="4">
        <v>13.25</v>
      </c>
      <c r="H316" s="4">
        <v>13.25</v>
      </c>
      <c r="I316" s="4" t="s">
        <v>14</v>
      </c>
      <c r="J316" s="4" t="s">
        <v>15</v>
      </c>
      <c r="K316" s="4" t="s">
        <v>120</v>
      </c>
      <c r="L316" s="7" t="s">
        <v>121</v>
      </c>
    </row>
    <row r="317" spans="1:12" ht="29.4" thickBot="1" x14ac:dyDescent="0.35">
      <c r="A317" s="8">
        <v>316</v>
      </c>
      <c r="B317" s="9" t="s">
        <v>48</v>
      </c>
      <c r="C317" s="9" t="s">
        <v>564</v>
      </c>
      <c r="D317" s="9">
        <v>1</v>
      </c>
      <c r="E317" s="9" t="s">
        <v>563</v>
      </c>
      <c r="F317" s="11">
        <v>0.7926157407407407</v>
      </c>
      <c r="G317" s="9">
        <v>20.75</v>
      </c>
      <c r="H317" s="9">
        <v>20.75</v>
      </c>
      <c r="I317" s="9" t="s">
        <v>20</v>
      </c>
      <c r="J317" s="9" t="s">
        <v>31</v>
      </c>
      <c r="K317" s="9" t="s">
        <v>50</v>
      </c>
      <c r="L317" s="12" t="s">
        <v>51</v>
      </c>
    </row>
    <row r="318" spans="1:12" ht="29.4" thickBot="1" x14ac:dyDescent="0.35">
      <c r="A318" s="3">
        <v>317</v>
      </c>
      <c r="B318" s="4" t="s">
        <v>361</v>
      </c>
      <c r="C318" s="4" t="s">
        <v>565</v>
      </c>
      <c r="D318" s="4">
        <v>1</v>
      </c>
      <c r="E318" s="4" t="s">
        <v>566</v>
      </c>
      <c r="F318" s="6">
        <v>0.53746527777777775</v>
      </c>
      <c r="G318" s="4">
        <v>20.25</v>
      </c>
      <c r="H318" s="4">
        <v>20.25</v>
      </c>
      <c r="I318" s="4" t="s">
        <v>20</v>
      </c>
      <c r="J318" s="4" t="s">
        <v>26</v>
      </c>
      <c r="K318" s="4" t="s">
        <v>313</v>
      </c>
      <c r="L318" s="7" t="s">
        <v>314</v>
      </c>
    </row>
    <row r="319" spans="1:12" ht="15" thickBot="1" x14ac:dyDescent="0.35">
      <c r="A319" s="8">
        <v>318</v>
      </c>
      <c r="B319" s="9" t="s">
        <v>317</v>
      </c>
      <c r="C319" s="9" t="s">
        <v>567</v>
      </c>
      <c r="D319" s="9">
        <v>1</v>
      </c>
      <c r="E319" s="9" t="s">
        <v>566</v>
      </c>
      <c r="F319" s="11">
        <v>0.72856481481481483</v>
      </c>
      <c r="G319" s="9">
        <v>12.5</v>
      </c>
      <c r="H319" s="9">
        <v>12.5</v>
      </c>
      <c r="I319" s="9" t="s">
        <v>14</v>
      </c>
      <c r="J319" s="9" t="s">
        <v>15</v>
      </c>
      <c r="K319" s="9" t="s">
        <v>41</v>
      </c>
      <c r="L319" s="12" t="s">
        <v>42</v>
      </c>
    </row>
    <row r="320" spans="1:12" ht="43.8" thickBot="1" x14ac:dyDescent="0.35">
      <c r="A320" s="3">
        <v>319</v>
      </c>
      <c r="B320" s="4" t="s">
        <v>105</v>
      </c>
      <c r="C320" s="4" t="s">
        <v>568</v>
      </c>
      <c r="D320" s="4">
        <v>2</v>
      </c>
      <c r="E320" s="4" t="s">
        <v>569</v>
      </c>
      <c r="F320" s="6">
        <v>0.53350694444444446</v>
      </c>
      <c r="G320" s="4">
        <v>20.25</v>
      </c>
      <c r="H320" s="4">
        <v>40.5</v>
      </c>
      <c r="I320" s="4" t="s">
        <v>20</v>
      </c>
      <c r="J320" s="4" t="s">
        <v>26</v>
      </c>
      <c r="K320" s="4" t="s">
        <v>108</v>
      </c>
      <c r="L320" s="7" t="s">
        <v>109</v>
      </c>
    </row>
    <row r="321" spans="1:12" ht="29.4" thickBot="1" x14ac:dyDescent="0.35">
      <c r="A321" s="8">
        <v>320</v>
      </c>
      <c r="B321" s="9" t="s">
        <v>140</v>
      </c>
      <c r="C321" s="9" t="s">
        <v>570</v>
      </c>
      <c r="D321" s="9">
        <v>1</v>
      </c>
      <c r="E321" s="9" t="s">
        <v>569</v>
      </c>
      <c r="F321" s="11">
        <v>0.72378472222222223</v>
      </c>
      <c r="G321" s="9">
        <v>12.5</v>
      </c>
      <c r="H321" s="9">
        <v>12.5</v>
      </c>
      <c r="I321" s="9" t="s">
        <v>45</v>
      </c>
      <c r="J321" s="9" t="s">
        <v>31</v>
      </c>
      <c r="K321" s="9" t="s">
        <v>95</v>
      </c>
      <c r="L321" s="12" t="s">
        <v>96</v>
      </c>
    </row>
    <row r="322" spans="1:12" ht="29.4" thickBot="1" x14ac:dyDescent="0.35">
      <c r="A322" s="3">
        <v>321</v>
      </c>
      <c r="B322" s="4" t="s">
        <v>90</v>
      </c>
      <c r="C322" s="4" t="s">
        <v>536</v>
      </c>
      <c r="D322" s="4">
        <v>1</v>
      </c>
      <c r="E322" s="4" t="s">
        <v>571</v>
      </c>
      <c r="F322" s="6">
        <v>0.81170138888888888</v>
      </c>
      <c r="G322" s="4">
        <v>20.25</v>
      </c>
      <c r="H322" s="4">
        <v>20.25</v>
      </c>
      <c r="I322" s="4" t="s">
        <v>20</v>
      </c>
      <c r="J322" s="4" t="s">
        <v>31</v>
      </c>
      <c r="K322" s="4" t="s">
        <v>80</v>
      </c>
      <c r="L322" s="7" t="s">
        <v>81</v>
      </c>
    </row>
    <row r="323" spans="1:12" ht="29.4" thickBot="1" x14ac:dyDescent="0.35">
      <c r="A323" s="8">
        <v>322</v>
      </c>
      <c r="B323" s="9" t="s">
        <v>112</v>
      </c>
      <c r="C323" s="9" t="s">
        <v>572</v>
      </c>
      <c r="D323" s="9">
        <v>1</v>
      </c>
      <c r="E323" s="9" t="s">
        <v>571</v>
      </c>
      <c r="F323" s="11">
        <v>0.92533564814814817</v>
      </c>
      <c r="G323" s="9">
        <v>20.75</v>
      </c>
      <c r="H323" s="9">
        <v>20.75</v>
      </c>
      <c r="I323" s="9" t="s">
        <v>20</v>
      </c>
      <c r="J323" s="9" t="s">
        <v>21</v>
      </c>
      <c r="K323" s="9" t="s">
        <v>115</v>
      </c>
      <c r="L323" s="12" t="s">
        <v>116</v>
      </c>
    </row>
    <row r="324" spans="1:12" ht="29.4" thickBot="1" x14ac:dyDescent="0.35">
      <c r="A324" s="3">
        <v>323</v>
      </c>
      <c r="B324" s="4" t="s">
        <v>34</v>
      </c>
      <c r="C324" s="4" t="s">
        <v>409</v>
      </c>
      <c r="D324" s="4">
        <v>1</v>
      </c>
      <c r="E324" s="4" t="s">
        <v>571</v>
      </c>
      <c r="F324" s="6">
        <v>0.96173611111111112</v>
      </c>
      <c r="G324" s="4">
        <v>25.5</v>
      </c>
      <c r="H324" s="4">
        <v>25.5</v>
      </c>
      <c r="I324" s="4" t="s">
        <v>36</v>
      </c>
      <c r="J324" s="4" t="s">
        <v>15</v>
      </c>
      <c r="K324" s="4" t="s">
        <v>37</v>
      </c>
      <c r="L324" s="7" t="s">
        <v>38</v>
      </c>
    </row>
    <row r="325" spans="1:12" ht="43.8" thickBot="1" x14ac:dyDescent="0.35">
      <c r="A325" s="8">
        <v>324</v>
      </c>
      <c r="B325" s="9" t="s">
        <v>97</v>
      </c>
      <c r="C325" s="9" t="s">
        <v>573</v>
      </c>
      <c r="D325" s="9">
        <v>1</v>
      </c>
      <c r="E325" s="9" t="s">
        <v>574</v>
      </c>
      <c r="F325" s="11">
        <v>0.49037037037037035</v>
      </c>
      <c r="G325" s="9">
        <v>12.75</v>
      </c>
      <c r="H325" s="9">
        <v>12.75</v>
      </c>
      <c r="I325" s="9" t="s">
        <v>45</v>
      </c>
      <c r="J325" s="9" t="s">
        <v>21</v>
      </c>
      <c r="K325" s="9" t="s">
        <v>100</v>
      </c>
      <c r="L325" s="12" t="s">
        <v>101</v>
      </c>
    </row>
    <row r="326" spans="1:12" ht="15" thickBot="1" x14ac:dyDescent="0.35">
      <c r="A326" s="3">
        <v>325</v>
      </c>
      <c r="B326" s="4" t="s">
        <v>142</v>
      </c>
      <c r="C326" s="4" t="s">
        <v>575</v>
      </c>
      <c r="D326" s="4">
        <v>1</v>
      </c>
      <c r="E326" s="4" t="s">
        <v>574</v>
      </c>
      <c r="F326" s="6">
        <v>0.61008101851851848</v>
      </c>
      <c r="G326" s="4">
        <v>10.5</v>
      </c>
      <c r="H326" s="4">
        <v>10.5</v>
      </c>
      <c r="I326" s="4" t="s">
        <v>45</v>
      </c>
      <c r="J326" s="4" t="s">
        <v>15</v>
      </c>
      <c r="K326" s="4" t="s">
        <v>120</v>
      </c>
      <c r="L326" s="7" t="s">
        <v>121</v>
      </c>
    </row>
    <row r="327" spans="1:12" ht="43.8" thickBot="1" x14ac:dyDescent="0.35">
      <c r="A327" s="8">
        <v>326</v>
      </c>
      <c r="B327" s="9" t="s">
        <v>576</v>
      </c>
      <c r="C327" s="9" t="s">
        <v>577</v>
      </c>
      <c r="D327" s="9">
        <v>1</v>
      </c>
      <c r="E327" s="9" t="s">
        <v>574</v>
      </c>
      <c r="F327" s="11">
        <v>0.76853009259259264</v>
      </c>
      <c r="G327" s="9">
        <v>12.5</v>
      </c>
      <c r="H327" s="9">
        <v>12.5</v>
      </c>
      <c r="I327" s="9" t="s">
        <v>45</v>
      </c>
      <c r="J327" s="9" t="s">
        <v>31</v>
      </c>
      <c r="K327" s="9" t="s">
        <v>388</v>
      </c>
      <c r="L327" s="12" t="s">
        <v>389</v>
      </c>
    </row>
    <row r="328" spans="1:12" ht="29.4" thickBot="1" x14ac:dyDescent="0.35">
      <c r="A328" s="3">
        <v>327</v>
      </c>
      <c r="B328" s="4" t="s">
        <v>52</v>
      </c>
      <c r="C328" s="4" t="s">
        <v>578</v>
      </c>
      <c r="D328" s="4">
        <v>1</v>
      </c>
      <c r="E328" s="4" t="s">
        <v>574</v>
      </c>
      <c r="F328" s="6">
        <v>0.83248842592592598</v>
      </c>
      <c r="G328" s="4">
        <v>12.5</v>
      </c>
      <c r="H328" s="4">
        <v>12.5</v>
      </c>
      <c r="I328" s="4" t="s">
        <v>45</v>
      </c>
      <c r="J328" s="4" t="s">
        <v>31</v>
      </c>
      <c r="K328" s="4" t="s">
        <v>32</v>
      </c>
      <c r="L328" s="7" t="s">
        <v>33</v>
      </c>
    </row>
    <row r="329" spans="1:12" ht="43.8" thickBot="1" x14ac:dyDescent="0.35">
      <c r="A329" s="8">
        <v>328</v>
      </c>
      <c r="B329" s="9" t="s">
        <v>489</v>
      </c>
      <c r="C329" s="9" t="s">
        <v>579</v>
      </c>
      <c r="D329" s="9">
        <v>2</v>
      </c>
      <c r="E329" s="9" t="s">
        <v>580</v>
      </c>
      <c r="F329" s="11">
        <v>0.5499074074074074</v>
      </c>
      <c r="G329" s="9">
        <v>14.75</v>
      </c>
      <c r="H329" s="9">
        <v>29.5</v>
      </c>
      <c r="I329" s="9" t="s">
        <v>14</v>
      </c>
      <c r="J329" s="9" t="s">
        <v>26</v>
      </c>
      <c r="K329" s="9" t="s">
        <v>60</v>
      </c>
      <c r="L329" s="12" t="s">
        <v>61</v>
      </c>
    </row>
    <row r="330" spans="1:12" ht="15" thickBot="1" x14ac:dyDescent="0.35">
      <c r="A330" s="3">
        <v>329</v>
      </c>
      <c r="B330" s="4" t="s">
        <v>117</v>
      </c>
      <c r="C330" s="4" t="s">
        <v>581</v>
      </c>
      <c r="D330" s="4">
        <v>1</v>
      </c>
      <c r="E330" s="5">
        <v>42013</v>
      </c>
      <c r="F330" s="6">
        <v>0.52222222222222225</v>
      </c>
      <c r="G330" s="4">
        <v>16.5</v>
      </c>
      <c r="H330" s="4">
        <v>16.5</v>
      </c>
      <c r="I330" s="4" t="s">
        <v>20</v>
      </c>
      <c r="J330" s="4" t="s">
        <v>15</v>
      </c>
      <c r="K330" s="4" t="s">
        <v>120</v>
      </c>
      <c r="L330" s="7" t="s">
        <v>121</v>
      </c>
    </row>
    <row r="331" spans="1:12" ht="29.4" thickBot="1" x14ac:dyDescent="0.35">
      <c r="A331" s="8">
        <v>330</v>
      </c>
      <c r="B331" s="9" t="s">
        <v>582</v>
      </c>
      <c r="C331" s="9" t="s">
        <v>583</v>
      </c>
      <c r="D331" s="9">
        <v>1</v>
      </c>
      <c r="E331" s="10">
        <v>42013</v>
      </c>
      <c r="F331" s="11">
        <v>0.53137731481481476</v>
      </c>
      <c r="G331" s="9">
        <v>12.75</v>
      </c>
      <c r="H331" s="9">
        <v>12.75</v>
      </c>
      <c r="I331" s="9" t="s">
        <v>45</v>
      </c>
      <c r="J331" s="9" t="s">
        <v>26</v>
      </c>
      <c r="K331" s="9" t="s">
        <v>75</v>
      </c>
      <c r="L331" s="12" t="s">
        <v>76</v>
      </c>
    </row>
    <row r="332" spans="1:12" ht="15" thickBot="1" x14ac:dyDescent="0.35">
      <c r="A332" s="3">
        <v>331</v>
      </c>
      <c r="B332" s="4" t="s">
        <v>39</v>
      </c>
      <c r="C332" s="4" t="s">
        <v>584</v>
      </c>
      <c r="D332" s="4">
        <v>1</v>
      </c>
      <c r="E332" s="5">
        <v>42013</v>
      </c>
      <c r="F332" s="6">
        <v>0.67652777777777773</v>
      </c>
      <c r="G332" s="4">
        <v>15.25</v>
      </c>
      <c r="H332" s="4">
        <v>15.25</v>
      </c>
      <c r="I332" s="4" t="s">
        <v>20</v>
      </c>
      <c r="J332" s="4" t="s">
        <v>15</v>
      </c>
      <c r="K332" s="4" t="s">
        <v>41</v>
      </c>
      <c r="L332" s="7" t="s">
        <v>42</v>
      </c>
    </row>
    <row r="333" spans="1:12" ht="29.4" thickBot="1" x14ac:dyDescent="0.35">
      <c r="A333" s="8">
        <v>332</v>
      </c>
      <c r="B333" s="9" t="s">
        <v>43</v>
      </c>
      <c r="C333" s="9" t="s">
        <v>585</v>
      </c>
      <c r="D333" s="9">
        <v>1</v>
      </c>
      <c r="E333" s="10">
        <v>42072</v>
      </c>
      <c r="F333" s="11">
        <v>0.78841435185185182</v>
      </c>
      <c r="G333" s="9">
        <v>12.5</v>
      </c>
      <c r="H333" s="9">
        <v>12.5</v>
      </c>
      <c r="I333" s="9" t="s">
        <v>45</v>
      </c>
      <c r="J333" s="9" t="s">
        <v>31</v>
      </c>
      <c r="K333" s="9" t="s">
        <v>46</v>
      </c>
      <c r="L333" s="12" t="s">
        <v>47</v>
      </c>
    </row>
    <row r="334" spans="1:12" ht="29.4" thickBot="1" x14ac:dyDescent="0.35">
      <c r="A334" s="3">
        <v>333</v>
      </c>
      <c r="B334" s="4" t="s">
        <v>586</v>
      </c>
      <c r="C334" s="4" t="s">
        <v>587</v>
      </c>
      <c r="D334" s="4">
        <v>1</v>
      </c>
      <c r="E334" s="5">
        <v>42103</v>
      </c>
      <c r="F334" s="6">
        <v>0.56298611111111108</v>
      </c>
      <c r="G334" s="4">
        <v>16</v>
      </c>
      <c r="H334" s="4">
        <v>16</v>
      </c>
      <c r="I334" s="4" t="s">
        <v>14</v>
      </c>
      <c r="J334" s="4" t="s">
        <v>26</v>
      </c>
      <c r="K334" s="4" t="s">
        <v>313</v>
      </c>
      <c r="L334" s="7" t="s">
        <v>314</v>
      </c>
    </row>
    <row r="335" spans="1:12" ht="29.4" thickBot="1" x14ac:dyDescent="0.35">
      <c r="A335" s="8">
        <v>334</v>
      </c>
      <c r="B335" s="9" t="s">
        <v>247</v>
      </c>
      <c r="C335" s="9" t="s">
        <v>588</v>
      </c>
      <c r="D335" s="9">
        <v>1</v>
      </c>
      <c r="E335" s="10">
        <v>42103</v>
      </c>
      <c r="F335" s="11">
        <v>0.56298611111111108</v>
      </c>
      <c r="G335" s="9">
        <v>12</v>
      </c>
      <c r="H335" s="9">
        <v>12</v>
      </c>
      <c r="I335" s="9" t="s">
        <v>45</v>
      </c>
      <c r="J335" s="9" t="s">
        <v>26</v>
      </c>
      <c r="K335" s="9" t="s">
        <v>138</v>
      </c>
      <c r="L335" s="12" t="s">
        <v>139</v>
      </c>
    </row>
    <row r="336" spans="1:12" ht="29.4" thickBot="1" x14ac:dyDescent="0.35">
      <c r="A336" s="3">
        <v>335</v>
      </c>
      <c r="B336" s="4" t="s">
        <v>12</v>
      </c>
      <c r="C336" s="4" t="s">
        <v>589</v>
      </c>
      <c r="D336" s="4">
        <v>1</v>
      </c>
      <c r="E336" s="5">
        <v>42133</v>
      </c>
      <c r="F336" s="6">
        <v>0.93222222222222217</v>
      </c>
      <c r="G336" s="4">
        <v>16</v>
      </c>
      <c r="H336" s="4">
        <v>16</v>
      </c>
      <c r="I336" s="4" t="s">
        <v>14</v>
      </c>
      <c r="J336" s="4" t="s">
        <v>15</v>
      </c>
      <c r="K336" s="4" t="s">
        <v>16</v>
      </c>
      <c r="L336" s="7" t="s">
        <v>17</v>
      </c>
    </row>
    <row r="337" spans="1:12" ht="29.4" thickBot="1" x14ac:dyDescent="0.35">
      <c r="A337" s="8">
        <v>336</v>
      </c>
      <c r="B337" s="9" t="s">
        <v>487</v>
      </c>
      <c r="C337" s="9" t="s">
        <v>590</v>
      </c>
      <c r="D337" s="9">
        <v>1</v>
      </c>
      <c r="E337" s="10">
        <v>42164</v>
      </c>
      <c r="F337" s="11">
        <v>0.7252777777777778</v>
      </c>
      <c r="G337" s="9">
        <v>20.5</v>
      </c>
      <c r="H337" s="9">
        <v>20.5</v>
      </c>
      <c r="I337" s="9" t="s">
        <v>20</v>
      </c>
      <c r="J337" s="9" t="s">
        <v>15</v>
      </c>
      <c r="K337" s="9" t="s">
        <v>16</v>
      </c>
      <c r="L337" s="12" t="s">
        <v>17</v>
      </c>
    </row>
    <row r="338" spans="1:12" ht="43.8" thickBot="1" x14ac:dyDescent="0.35">
      <c r="A338" s="3">
        <v>337</v>
      </c>
      <c r="B338" s="4" t="s">
        <v>58</v>
      </c>
      <c r="C338" s="4" t="s">
        <v>591</v>
      </c>
      <c r="D338" s="4">
        <v>1</v>
      </c>
      <c r="E338" s="5">
        <v>42164</v>
      </c>
      <c r="F338" s="6">
        <v>0.74506944444444445</v>
      </c>
      <c r="G338" s="4">
        <v>17.95</v>
      </c>
      <c r="H338" s="4">
        <v>17.95</v>
      </c>
      <c r="I338" s="4" t="s">
        <v>20</v>
      </c>
      <c r="J338" s="4" t="s">
        <v>26</v>
      </c>
      <c r="K338" s="4" t="s">
        <v>60</v>
      </c>
      <c r="L338" s="7" t="s">
        <v>61</v>
      </c>
    </row>
    <row r="339" spans="1:12" ht="43.8" thickBot="1" x14ac:dyDescent="0.35">
      <c r="A339" s="8">
        <v>338</v>
      </c>
      <c r="B339" s="9" t="s">
        <v>275</v>
      </c>
      <c r="C339" s="9" t="s">
        <v>592</v>
      </c>
      <c r="D339" s="9">
        <v>1</v>
      </c>
      <c r="E339" s="10">
        <v>42194</v>
      </c>
      <c r="F339" s="11">
        <v>0.8332060185185185</v>
      </c>
      <c r="G339" s="9">
        <v>20.25</v>
      </c>
      <c r="H339" s="9">
        <v>20.25</v>
      </c>
      <c r="I339" s="9" t="s">
        <v>20</v>
      </c>
      <c r="J339" s="9" t="s">
        <v>26</v>
      </c>
      <c r="K339" s="9" t="s">
        <v>56</v>
      </c>
      <c r="L339" s="12" t="s">
        <v>57</v>
      </c>
    </row>
    <row r="340" spans="1:12" ht="29.4" thickBot="1" x14ac:dyDescent="0.35">
      <c r="A340" s="3">
        <v>339</v>
      </c>
      <c r="B340" s="4" t="s">
        <v>310</v>
      </c>
      <c r="C340" s="4" t="s">
        <v>454</v>
      </c>
      <c r="D340" s="4">
        <v>1</v>
      </c>
      <c r="E340" s="5">
        <v>42225</v>
      </c>
      <c r="F340" s="6">
        <v>0.52924768518518517</v>
      </c>
      <c r="G340" s="4">
        <v>12</v>
      </c>
      <c r="H340" s="4">
        <v>12</v>
      </c>
      <c r="I340" s="4" t="s">
        <v>45</v>
      </c>
      <c r="J340" s="4" t="s">
        <v>26</v>
      </c>
      <c r="K340" s="4" t="s">
        <v>313</v>
      </c>
      <c r="L340" s="7" t="s">
        <v>314</v>
      </c>
    </row>
    <row r="341" spans="1:12" ht="43.8" thickBot="1" x14ac:dyDescent="0.35">
      <c r="A341" s="8">
        <v>340</v>
      </c>
      <c r="B341" s="9" t="s">
        <v>184</v>
      </c>
      <c r="C341" s="9" t="s">
        <v>593</v>
      </c>
      <c r="D341" s="9">
        <v>1</v>
      </c>
      <c r="E341" s="10">
        <v>42225</v>
      </c>
      <c r="F341" s="11">
        <v>0.7272453703703704</v>
      </c>
      <c r="G341" s="9">
        <v>20.75</v>
      </c>
      <c r="H341" s="9">
        <v>20.75</v>
      </c>
      <c r="I341" s="9" t="s">
        <v>20</v>
      </c>
      <c r="J341" s="9" t="s">
        <v>21</v>
      </c>
      <c r="K341" s="9" t="s">
        <v>100</v>
      </c>
      <c r="L341" s="12" t="s">
        <v>101</v>
      </c>
    </row>
    <row r="342" spans="1:12" ht="43.8" thickBot="1" x14ac:dyDescent="0.35">
      <c r="A342" s="3">
        <v>341</v>
      </c>
      <c r="B342" s="4" t="s">
        <v>58</v>
      </c>
      <c r="C342" s="4" t="s">
        <v>594</v>
      </c>
      <c r="D342" s="4">
        <v>1</v>
      </c>
      <c r="E342" s="5">
        <v>42225</v>
      </c>
      <c r="F342" s="6">
        <v>0.75732638888888892</v>
      </c>
      <c r="G342" s="4">
        <v>17.95</v>
      </c>
      <c r="H342" s="4">
        <v>17.95</v>
      </c>
      <c r="I342" s="4" t="s">
        <v>20</v>
      </c>
      <c r="J342" s="4" t="s">
        <v>26</v>
      </c>
      <c r="K342" s="4" t="s">
        <v>60</v>
      </c>
      <c r="L342" s="7" t="s">
        <v>61</v>
      </c>
    </row>
    <row r="343" spans="1:12" ht="43.8" thickBot="1" x14ac:dyDescent="0.35">
      <c r="A343" s="8">
        <v>342</v>
      </c>
      <c r="B343" s="9" t="s">
        <v>275</v>
      </c>
      <c r="C343" s="9" t="s">
        <v>595</v>
      </c>
      <c r="D343" s="9">
        <v>1</v>
      </c>
      <c r="E343" s="10">
        <v>42225</v>
      </c>
      <c r="F343" s="11">
        <v>0.79737268518518523</v>
      </c>
      <c r="G343" s="9">
        <v>20.25</v>
      </c>
      <c r="H343" s="9">
        <v>20.25</v>
      </c>
      <c r="I343" s="9" t="s">
        <v>20</v>
      </c>
      <c r="J343" s="9" t="s">
        <v>26</v>
      </c>
      <c r="K343" s="9" t="s">
        <v>56</v>
      </c>
      <c r="L343" s="12" t="s">
        <v>57</v>
      </c>
    </row>
    <row r="344" spans="1:12" ht="29.4" thickBot="1" x14ac:dyDescent="0.35">
      <c r="A344" s="3">
        <v>343</v>
      </c>
      <c r="B344" s="4" t="s">
        <v>12</v>
      </c>
      <c r="C344" s="4" t="s">
        <v>596</v>
      </c>
      <c r="D344" s="4">
        <v>1</v>
      </c>
      <c r="E344" s="5">
        <v>42286</v>
      </c>
      <c r="F344" s="6">
        <v>0.60398148148148145</v>
      </c>
      <c r="G344" s="4">
        <v>16</v>
      </c>
      <c r="H344" s="4">
        <v>16</v>
      </c>
      <c r="I344" s="4" t="s">
        <v>14</v>
      </c>
      <c r="J344" s="4" t="s">
        <v>15</v>
      </c>
      <c r="K344" s="4" t="s">
        <v>16</v>
      </c>
      <c r="L344" s="7" t="s">
        <v>17</v>
      </c>
    </row>
    <row r="345" spans="1:12" ht="29.4" thickBot="1" x14ac:dyDescent="0.35">
      <c r="A345" s="8">
        <v>344</v>
      </c>
      <c r="B345" s="9" t="s">
        <v>221</v>
      </c>
      <c r="C345" s="9" t="s">
        <v>597</v>
      </c>
      <c r="D345" s="9">
        <v>1</v>
      </c>
      <c r="E345" s="10">
        <v>42317</v>
      </c>
      <c r="F345" s="11">
        <v>0.52554398148148151</v>
      </c>
      <c r="G345" s="9">
        <v>12</v>
      </c>
      <c r="H345" s="9">
        <v>12</v>
      </c>
      <c r="I345" s="9" t="s">
        <v>45</v>
      </c>
      <c r="J345" s="9" t="s">
        <v>26</v>
      </c>
      <c r="K345" s="9" t="s">
        <v>224</v>
      </c>
      <c r="L345" s="12" t="s">
        <v>225</v>
      </c>
    </row>
    <row r="346" spans="1:12" ht="29.4" thickBot="1" x14ac:dyDescent="0.35">
      <c r="A346" s="3">
        <v>345</v>
      </c>
      <c r="B346" s="4" t="s">
        <v>518</v>
      </c>
      <c r="C346" s="4" t="s">
        <v>598</v>
      </c>
      <c r="D346" s="4">
        <v>1</v>
      </c>
      <c r="E346" s="5">
        <v>42317</v>
      </c>
      <c r="F346" s="6">
        <v>0.52554398148148151</v>
      </c>
      <c r="G346" s="4">
        <v>20.5</v>
      </c>
      <c r="H346" s="4">
        <v>20.5</v>
      </c>
      <c r="I346" s="4" t="s">
        <v>20</v>
      </c>
      <c r="J346" s="4" t="s">
        <v>15</v>
      </c>
      <c r="K346" s="4" t="s">
        <v>210</v>
      </c>
      <c r="L346" s="7" t="s">
        <v>211</v>
      </c>
    </row>
    <row r="347" spans="1:12" ht="29.4" thickBot="1" x14ac:dyDescent="0.35">
      <c r="A347" s="8">
        <v>346</v>
      </c>
      <c r="B347" s="9" t="s">
        <v>112</v>
      </c>
      <c r="C347" s="9" t="s">
        <v>599</v>
      </c>
      <c r="D347" s="9">
        <v>1</v>
      </c>
      <c r="E347" s="10">
        <v>42317</v>
      </c>
      <c r="F347" s="11">
        <v>0.59097222222222223</v>
      </c>
      <c r="G347" s="9">
        <v>20.75</v>
      </c>
      <c r="H347" s="9">
        <v>20.75</v>
      </c>
      <c r="I347" s="9" t="s">
        <v>20</v>
      </c>
      <c r="J347" s="9" t="s">
        <v>21</v>
      </c>
      <c r="K347" s="9" t="s">
        <v>115</v>
      </c>
      <c r="L347" s="12" t="s">
        <v>116</v>
      </c>
    </row>
    <row r="348" spans="1:12" ht="29.4" thickBot="1" x14ac:dyDescent="0.35">
      <c r="A348" s="3">
        <v>347</v>
      </c>
      <c r="B348" s="4" t="s">
        <v>586</v>
      </c>
      <c r="C348" s="4" t="s">
        <v>600</v>
      </c>
      <c r="D348" s="4">
        <v>1</v>
      </c>
      <c r="E348" s="5">
        <v>42317</v>
      </c>
      <c r="F348" s="6">
        <v>0.60591435185185183</v>
      </c>
      <c r="G348" s="4">
        <v>16</v>
      </c>
      <c r="H348" s="4">
        <v>16</v>
      </c>
      <c r="I348" s="4" t="s">
        <v>14</v>
      </c>
      <c r="J348" s="4" t="s">
        <v>26</v>
      </c>
      <c r="K348" s="4" t="s">
        <v>313</v>
      </c>
      <c r="L348" s="7" t="s">
        <v>314</v>
      </c>
    </row>
    <row r="349" spans="1:12" ht="29.4" thickBot="1" x14ac:dyDescent="0.35">
      <c r="A349" s="8">
        <v>348</v>
      </c>
      <c r="B349" s="9" t="s">
        <v>77</v>
      </c>
      <c r="C349" s="9" t="s">
        <v>601</v>
      </c>
      <c r="D349" s="9">
        <v>1</v>
      </c>
      <c r="E349" s="10">
        <v>42347</v>
      </c>
      <c r="F349" s="11">
        <v>0.51112268518518522</v>
      </c>
      <c r="G349" s="9">
        <v>12.25</v>
      </c>
      <c r="H349" s="9">
        <v>12.25</v>
      </c>
      <c r="I349" s="9" t="s">
        <v>45</v>
      </c>
      <c r="J349" s="9" t="s">
        <v>31</v>
      </c>
      <c r="K349" s="9" t="s">
        <v>80</v>
      </c>
      <c r="L349" s="12" t="s">
        <v>81</v>
      </c>
    </row>
    <row r="350" spans="1:12" ht="15" thickBot="1" x14ac:dyDescent="0.35">
      <c r="A350" s="3">
        <v>349</v>
      </c>
      <c r="B350" s="4" t="s">
        <v>39</v>
      </c>
      <c r="C350" s="4" t="s">
        <v>602</v>
      </c>
      <c r="D350" s="4">
        <v>1</v>
      </c>
      <c r="E350" s="5">
        <v>42347</v>
      </c>
      <c r="F350" s="6">
        <v>0.56674768518518515</v>
      </c>
      <c r="G350" s="4">
        <v>15.25</v>
      </c>
      <c r="H350" s="4">
        <v>15.25</v>
      </c>
      <c r="I350" s="4" t="s">
        <v>20</v>
      </c>
      <c r="J350" s="4" t="s">
        <v>15</v>
      </c>
      <c r="K350" s="4" t="s">
        <v>41</v>
      </c>
      <c r="L350" s="7" t="s">
        <v>42</v>
      </c>
    </row>
    <row r="351" spans="1:12" ht="29.4" thickBot="1" x14ac:dyDescent="0.35">
      <c r="A351" s="8">
        <v>350</v>
      </c>
      <c r="B351" s="9" t="s">
        <v>586</v>
      </c>
      <c r="C351" s="9" t="s">
        <v>603</v>
      </c>
      <c r="D351" s="9">
        <v>1</v>
      </c>
      <c r="E351" s="10">
        <v>42347</v>
      </c>
      <c r="F351" s="11">
        <v>0.7341550925925926</v>
      </c>
      <c r="G351" s="9">
        <v>16</v>
      </c>
      <c r="H351" s="9">
        <v>16</v>
      </c>
      <c r="I351" s="9" t="s">
        <v>14</v>
      </c>
      <c r="J351" s="9" t="s">
        <v>26</v>
      </c>
      <c r="K351" s="9" t="s">
        <v>313</v>
      </c>
      <c r="L351" s="12" t="s">
        <v>314</v>
      </c>
    </row>
    <row r="352" spans="1:12" ht="29.4" thickBot="1" x14ac:dyDescent="0.35">
      <c r="A352" s="3">
        <v>351</v>
      </c>
      <c r="B352" s="4" t="s">
        <v>604</v>
      </c>
      <c r="C352" s="4" t="s">
        <v>605</v>
      </c>
      <c r="D352" s="4">
        <v>1</v>
      </c>
      <c r="E352" s="4" t="s">
        <v>606</v>
      </c>
      <c r="F352" s="6">
        <v>0.77577546296296296</v>
      </c>
      <c r="G352" s="4">
        <v>12.75</v>
      </c>
      <c r="H352" s="4">
        <v>12.75</v>
      </c>
      <c r="I352" s="4" t="s">
        <v>45</v>
      </c>
      <c r="J352" s="4" t="s">
        <v>21</v>
      </c>
      <c r="K352" s="4" t="s">
        <v>156</v>
      </c>
      <c r="L352" s="7" t="s">
        <v>157</v>
      </c>
    </row>
    <row r="353" spans="1:12" ht="43.8" thickBot="1" x14ac:dyDescent="0.35">
      <c r="A353" s="8">
        <v>352</v>
      </c>
      <c r="B353" s="9" t="s">
        <v>184</v>
      </c>
      <c r="C353" s="9" t="s">
        <v>607</v>
      </c>
      <c r="D353" s="9">
        <v>1</v>
      </c>
      <c r="E353" s="9" t="s">
        <v>606</v>
      </c>
      <c r="F353" s="11">
        <v>0.89853009259259264</v>
      </c>
      <c r="G353" s="9">
        <v>20.75</v>
      </c>
      <c r="H353" s="9">
        <v>20.75</v>
      </c>
      <c r="I353" s="9" t="s">
        <v>20</v>
      </c>
      <c r="J353" s="9" t="s">
        <v>21</v>
      </c>
      <c r="K353" s="9" t="s">
        <v>100</v>
      </c>
      <c r="L353" s="12" t="s">
        <v>101</v>
      </c>
    </row>
    <row r="354" spans="1:12" ht="29.4" thickBot="1" x14ac:dyDescent="0.35">
      <c r="A354" s="3">
        <v>353</v>
      </c>
      <c r="B354" s="4" t="s">
        <v>381</v>
      </c>
      <c r="C354" s="4" t="s">
        <v>608</v>
      </c>
      <c r="D354" s="4">
        <v>1</v>
      </c>
      <c r="E354" s="4" t="s">
        <v>609</v>
      </c>
      <c r="F354" s="6">
        <v>0.74335648148148148</v>
      </c>
      <c r="G354" s="4">
        <v>16.5</v>
      </c>
      <c r="H354" s="4">
        <v>16.5</v>
      </c>
      <c r="I354" s="4" t="s">
        <v>14</v>
      </c>
      <c r="J354" s="4" t="s">
        <v>26</v>
      </c>
      <c r="K354" s="4" t="s">
        <v>189</v>
      </c>
      <c r="L354" s="7" t="s">
        <v>190</v>
      </c>
    </row>
    <row r="355" spans="1:12" ht="29.4" thickBot="1" x14ac:dyDescent="0.35">
      <c r="A355" s="8">
        <v>354</v>
      </c>
      <c r="B355" s="9" t="s">
        <v>586</v>
      </c>
      <c r="C355" s="9" t="s">
        <v>610</v>
      </c>
      <c r="D355" s="9">
        <v>1</v>
      </c>
      <c r="E355" s="9" t="s">
        <v>609</v>
      </c>
      <c r="F355" s="11">
        <v>0.92372685185185188</v>
      </c>
      <c r="G355" s="9">
        <v>16</v>
      </c>
      <c r="H355" s="9">
        <v>16</v>
      </c>
      <c r="I355" s="9" t="s">
        <v>14</v>
      </c>
      <c r="J355" s="9" t="s">
        <v>26</v>
      </c>
      <c r="K355" s="9" t="s">
        <v>313</v>
      </c>
      <c r="L355" s="12" t="s">
        <v>314</v>
      </c>
    </row>
    <row r="356" spans="1:12" ht="29.4" thickBot="1" x14ac:dyDescent="0.35">
      <c r="A356" s="3">
        <v>355</v>
      </c>
      <c r="B356" s="4" t="s">
        <v>175</v>
      </c>
      <c r="C356" s="4" t="s">
        <v>611</v>
      </c>
      <c r="D356" s="4">
        <v>1</v>
      </c>
      <c r="E356" s="4" t="s">
        <v>612</v>
      </c>
      <c r="F356" s="6">
        <v>0.60373842592592597</v>
      </c>
      <c r="G356" s="4">
        <v>16.5</v>
      </c>
      <c r="H356" s="4">
        <v>16.5</v>
      </c>
      <c r="I356" s="4" t="s">
        <v>14</v>
      </c>
      <c r="J356" s="4" t="s">
        <v>31</v>
      </c>
      <c r="K356" s="4" t="s">
        <v>46</v>
      </c>
      <c r="L356" s="7" t="s">
        <v>47</v>
      </c>
    </row>
    <row r="357" spans="1:12" ht="43.8" thickBot="1" x14ac:dyDescent="0.35">
      <c r="A357" s="8">
        <v>356</v>
      </c>
      <c r="B357" s="9" t="s">
        <v>125</v>
      </c>
      <c r="C357" s="9" t="s">
        <v>613</v>
      </c>
      <c r="D357" s="9">
        <v>1</v>
      </c>
      <c r="E357" s="9" t="s">
        <v>612</v>
      </c>
      <c r="F357" s="11">
        <v>0.74935185185185182</v>
      </c>
      <c r="G357" s="9">
        <v>20.75</v>
      </c>
      <c r="H357" s="9">
        <v>20.75</v>
      </c>
      <c r="I357" s="9" t="s">
        <v>20</v>
      </c>
      <c r="J357" s="9" t="s">
        <v>21</v>
      </c>
      <c r="K357" s="9" t="s">
        <v>87</v>
      </c>
      <c r="L357" s="12" t="s">
        <v>88</v>
      </c>
    </row>
    <row r="358" spans="1:12" ht="29.4" thickBot="1" x14ac:dyDescent="0.35">
      <c r="A358" s="3">
        <v>357</v>
      </c>
      <c r="B358" s="4" t="s">
        <v>179</v>
      </c>
      <c r="C358" s="4" t="s">
        <v>614</v>
      </c>
      <c r="D358" s="4">
        <v>1</v>
      </c>
      <c r="E358" s="4" t="s">
        <v>615</v>
      </c>
      <c r="F358" s="6">
        <v>0.6802083333333333</v>
      </c>
      <c r="G358" s="4">
        <v>20.75</v>
      </c>
      <c r="H358" s="4">
        <v>20.75</v>
      </c>
      <c r="I358" s="4" t="s">
        <v>20</v>
      </c>
      <c r="J358" s="4" t="s">
        <v>31</v>
      </c>
      <c r="K358" s="4" t="s">
        <v>46</v>
      </c>
      <c r="L358" s="7" t="s">
        <v>47</v>
      </c>
    </row>
    <row r="359" spans="1:12" ht="29.4" thickBot="1" x14ac:dyDescent="0.35">
      <c r="A359" s="8">
        <v>358</v>
      </c>
      <c r="B359" s="9" t="s">
        <v>112</v>
      </c>
      <c r="C359" s="9" t="s">
        <v>616</v>
      </c>
      <c r="D359" s="9">
        <v>1</v>
      </c>
      <c r="E359" s="9" t="s">
        <v>617</v>
      </c>
      <c r="F359" s="11">
        <v>0.49194444444444446</v>
      </c>
      <c r="G359" s="9">
        <v>20.75</v>
      </c>
      <c r="H359" s="9">
        <v>20.75</v>
      </c>
      <c r="I359" s="9" t="s">
        <v>20</v>
      </c>
      <c r="J359" s="9" t="s">
        <v>21</v>
      </c>
      <c r="K359" s="9" t="s">
        <v>115</v>
      </c>
      <c r="L359" s="12" t="s">
        <v>116</v>
      </c>
    </row>
    <row r="360" spans="1:12" ht="29.4" thickBot="1" x14ac:dyDescent="0.35">
      <c r="A360" s="3">
        <v>359</v>
      </c>
      <c r="B360" s="4" t="s">
        <v>90</v>
      </c>
      <c r="C360" s="4" t="s">
        <v>618</v>
      </c>
      <c r="D360" s="4">
        <v>1</v>
      </c>
      <c r="E360" s="4" t="s">
        <v>617</v>
      </c>
      <c r="F360" s="6">
        <v>0.87671296296296297</v>
      </c>
      <c r="G360" s="4">
        <v>20.25</v>
      </c>
      <c r="H360" s="4">
        <v>20.25</v>
      </c>
      <c r="I360" s="4" t="s">
        <v>20</v>
      </c>
      <c r="J360" s="4" t="s">
        <v>31</v>
      </c>
      <c r="K360" s="4" t="s">
        <v>80</v>
      </c>
      <c r="L360" s="7" t="s">
        <v>81</v>
      </c>
    </row>
    <row r="361" spans="1:12" ht="29.4" thickBot="1" x14ac:dyDescent="0.35">
      <c r="A361" s="8">
        <v>360</v>
      </c>
      <c r="B361" s="9" t="s">
        <v>149</v>
      </c>
      <c r="C361" s="9" t="s">
        <v>619</v>
      </c>
      <c r="D361" s="9">
        <v>1</v>
      </c>
      <c r="E361" s="9" t="s">
        <v>620</v>
      </c>
      <c r="F361" s="11">
        <v>0.63042824074074078</v>
      </c>
      <c r="G361" s="9">
        <v>16.75</v>
      </c>
      <c r="H361" s="9">
        <v>16.75</v>
      </c>
      <c r="I361" s="9" t="s">
        <v>14</v>
      </c>
      <c r="J361" s="9" t="s">
        <v>21</v>
      </c>
      <c r="K361" s="9" t="s">
        <v>115</v>
      </c>
      <c r="L361" s="12" t="s">
        <v>116</v>
      </c>
    </row>
    <row r="362" spans="1:12" ht="29.4" thickBot="1" x14ac:dyDescent="0.35">
      <c r="A362" s="3">
        <v>361</v>
      </c>
      <c r="B362" s="4" t="s">
        <v>456</v>
      </c>
      <c r="C362" s="4" t="s">
        <v>621</v>
      </c>
      <c r="D362" s="4">
        <v>1</v>
      </c>
      <c r="E362" s="4" t="s">
        <v>620</v>
      </c>
      <c r="F362" s="6">
        <v>0.741724537037037</v>
      </c>
      <c r="G362" s="4">
        <v>12.25</v>
      </c>
      <c r="H362" s="4">
        <v>12.25</v>
      </c>
      <c r="I362" s="4" t="s">
        <v>45</v>
      </c>
      <c r="J362" s="4" t="s">
        <v>31</v>
      </c>
      <c r="K362" s="4" t="s">
        <v>164</v>
      </c>
      <c r="L362" s="7" t="s">
        <v>165</v>
      </c>
    </row>
    <row r="363" spans="1:12" ht="15" thickBot="1" x14ac:dyDescent="0.35">
      <c r="A363" s="8">
        <v>362</v>
      </c>
      <c r="B363" s="9" t="s">
        <v>117</v>
      </c>
      <c r="C363" s="9" t="s">
        <v>622</v>
      </c>
      <c r="D363" s="9">
        <v>1</v>
      </c>
      <c r="E363" s="9" t="s">
        <v>620</v>
      </c>
      <c r="F363" s="11">
        <v>0.83728009259259262</v>
      </c>
      <c r="G363" s="9">
        <v>16.5</v>
      </c>
      <c r="H363" s="9">
        <v>16.5</v>
      </c>
      <c r="I363" s="9" t="s">
        <v>20</v>
      </c>
      <c r="J363" s="9" t="s">
        <v>15</v>
      </c>
      <c r="K363" s="9" t="s">
        <v>120</v>
      </c>
      <c r="L363" s="12" t="s">
        <v>121</v>
      </c>
    </row>
    <row r="364" spans="1:12" ht="29.4" thickBot="1" x14ac:dyDescent="0.35">
      <c r="A364" s="3">
        <v>363</v>
      </c>
      <c r="B364" s="4" t="s">
        <v>195</v>
      </c>
      <c r="C364" s="4" t="s">
        <v>214</v>
      </c>
      <c r="D364" s="4">
        <v>1</v>
      </c>
      <c r="E364" s="4" t="s">
        <v>620</v>
      </c>
      <c r="F364" s="6">
        <v>0.87607638888888884</v>
      </c>
      <c r="G364" s="4">
        <v>12</v>
      </c>
      <c r="H364" s="4">
        <v>12</v>
      </c>
      <c r="I364" s="4" t="s">
        <v>45</v>
      </c>
      <c r="J364" s="4" t="s">
        <v>15</v>
      </c>
      <c r="K364" s="4" t="s">
        <v>198</v>
      </c>
      <c r="L364" s="7" t="s">
        <v>199</v>
      </c>
    </row>
    <row r="365" spans="1:12" ht="43.8" thickBot="1" x14ac:dyDescent="0.35">
      <c r="A365" s="8">
        <v>364</v>
      </c>
      <c r="B365" s="9" t="s">
        <v>489</v>
      </c>
      <c r="C365" s="9" t="s">
        <v>623</v>
      </c>
      <c r="D365" s="9">
        <v>1</v>
      </c>
      <c r="E365" s="9" t="s">
        <v>624</v>
      </c>
      <c r="F365" s="11">
        <v>0.53749999999999998</v>
      </c>
      <c r="G365" s="9">
        <v>14.75</v>
      </c>
      <c r="H365" s="9">
        <v>14.75</v>
      </c>
      <c r="I365" s="9" t="s">
        <v>14</v>
      </c>
      <c r="J365" s="9" t="s">
        <v>26</v>
      </c>
      <c r="K365" s="9" t="s">
        <v>60</v>
      </c>
      <c r="L365" s="12" t="s">
        <v>61</v>
      </c>
    </row>
    <row r="366" spans="1:12" ht="29.4" thickBot="1" x14ac:dyDescent="0.35">
      <c r="A366" s="3">
        <v>365</v>
      </c>
      <c r="B366" s="4" t="s">
        <v>73</v>
      </c>
      <c r="C366" s="4" t="s">
        <v>354</v>
      </c>
      <c r="D366" s="4">
        <v>1</v>
      </c>
      <c r="E366" s="4" t="s">
        <v>625</v>
      </c>
      <c r="F366" s="6">
        <v>0.52822916666666664</v>
      </c>
      <c r="G366" s="4">
        <v>16.75</v>
      </c>
      <c r="H366" s="4">
        <v>16.75</v>
      </c>
      <c r="I366" s="4" t="s">
        <v>14</v>
      </c>
      <c r="J366" s="4" t="s">
        <v>26</v>
      </c>
      <c r="K366" s="4" t="s">
        <v>75</v>
      </c>
      <c r="L366" s="7" t="s">
        <v>76</v>
      </c>
    </row>
    <row r="367" spans="1:12" ht="43.8" thickBot="1" x14ac:dyDescent="0.35">
      <c r="A367" s="8">
        <v>366</v>
      </c>
      <c r="B367" s="9" t="s">
        <v>24</v>
      </c>
      <c r="C367" s="9" t="s">
        <v>626</v>
      </c>
      <c r="D367" s="9">
        <v>2</v>
      </c>
      <c r="E367" s="9" t="s">
        <v>625</v>
      </c>
      <c r="F367" s="11">
        <v>0.7485532407407407</v>
      </c>
      <c r="G367" s="9">
        <v>18.5</v>
      </c>
      <c r="H367" s="9">
        <v>37</v>
      </c>
      <c r="I367" s="9" t="s">
        <v>20</v>
      </c>
      <c r="J367" s="9" t="s">
        <v>26</v>
      </c>
      <c r="K367" s="9" t="s">
        <v>27</v>
      </c>
      <c r="L367" s="12" t="s">
        <v>28</v>
      </c>
    </row>
    <row r="368" spans="1:12" ht="29.4" thickBot="1" x14ac:dyDescent="0.35">
      <c r="A368" s="3">
        <v>367</v>
      </c>
      <c r="B368" s="4" t="s">
        <v>487</v>
      </c>
      <c r="C368" s="4" t="s">
        <v>627</v>
      </c>
      <c r="D368" s="4">
        <v>1</v>
      </c>
      <c r="E368" s="4" t="s">
        <v>625</v>
      </c>
      <c r="F368" s="6">
        <v>0.76199074074074069</v>
      </c>
      <c r="G368" s="4">
        <v>20.5</v>
      </c>
      <c r="H368" s="4">
        <v>20.5</v>
      </c>
      <c r="I368" s="4" t="s">
        <v>20</v>
      </c>
      <c r="J368" s="4" t="s">
        <v>15</v>
      </c>
      <c r="K368" s="4" t="s">
        <v>16</v>
      </c>
      <c r="L368" s="7" t="s">
        <v>17</v>
      </c>
    </row>
    <row r="369" spans="1:12" ht="43.8" thickBot="1" x14ac:dyDescent="0.35">
      <c r="A369" s="8">
        <v>368</v>
      </c>
      <c r="B369" s="9" t="s">
        <v>184</v>
      </c>
      <c r="C369" s="9" t="s">
        <v>485</v>
      </c>
      <c r="D369" s="9">
        <v>1</v>
      </c>
      <c r="E369" s="9" t="s">
        <v>628</v>
      </c>
      <c r="F369" s="11">
        <v>0.54289351851851853</v>
      </c>
      <c r="G369" s="9">
        <v>20.75</v>
      </c>
      <c r="H369" s="9">
        <v>20.75</v>
      </c>
      <c r="I369" s="9" t="s">
        <v>20</v>
      </c>
      <c r="J369" s="9" t="s">
        <v>21</v>
      </c>
      <c r="K369" s="9" t="s">
        <v>100</v>
      </c>
      <c r="L369" s="12" t="s">
        <v>101</v>
      </c>
    </row>
    <row r="370" spans="1:12" ht="43.8" thickBot="1" x14ac:dyDescent="0.35">
      <c r="A370" s="3">
        <v>369</v>
      </c>
      <c r="B370" s="4" t="s">
        <v>275</v>
      </c>
      <c r="C370" s="4" t="s">
        <v>629</v>
      </c>
      <c r="D370" s="4">
        <v>1</v>
      </c>
      <c r="E370" s="4" t="s">
        <v>628</v>
      </c>
      <c r="F370" s="6">
        <v>0.55377314814814815</v>
      </c>
      <c r="G370" s="4">
        <v>20.25</v>
      </c>
      <c r="H370" s="4">
        <v>20.25</v>
      </c>
      <c r="I370" s="4" t="s">
        <v>20</v>
      </c>
      <c r="J370" s="4" t="s">
        <v>26</v>
      </c>
      <c r="K370" s="4" t="s">
        <v>56</v>
      </c>
      <c r="L370" s="7" t="s">
        <v>57</v>
      </c>
    </row>
    <row r="371" spans="1:12" ht="29.4" thickBot="1" x14ac:dyDescent="0.35">
      <c r="A371" s="8">
        <v>370</v>
      </c>
      <c r="B371" s="9" t="s">
        <v>154</v>
      </c>
      <c r="C371" s="9" t="s">
        <v>630</v>
      </c>
      <c r="D371" s="9">
        <v>1</v>
      </c>
      <c r="E371" s="9" t="s">
        <v>631</v>
      </c>
      <c r="F371" s="11">
        <v>0.56694444444444447</v>
      </c>
      <c r="G371" s="9">
        <v>20.75</v>
      </c>
      <c r="H371" s="9">
        <v>20.75</v>
      </c>
      <c r="I371" s="9" t="s">
        <v>20</v>
      </c>
      <c r="J371" s="9" t="s">
        <v>21</v>
      </c>
      <c r="K371" s="9" t="s">
        <v>156</v>
      </c>
      <c r="L371" s="12" t="s">
        <v>157</v>
      </c>
    </row>
    <row r="372" spans="1:12" ht="29.4" thickBot="1" x14ac:dyDescent="0.35">
      <c r="A372" s="3">
        <v>371</v>
      </c>
      <c r="B372" s="4" t="s">
        <v>201</v>
      </c>
      <c r="C372" s="4" t="s">
        <v>632</v>
      </c>
      <c r="D372" s="4">
        <v>1</v>
      </c>
      <c r="E372" s="4" t="s">
        <v>633</v>
      </c>
      <c r="F372" s="6">
        <v>0.52695601851851848</v>
      </c>
      <c r="G372" s="4">
        <v>12</v>
      </c>
      <c r="H372" s="4">
        <v>12</v>
      </c>
      <c r="I372" s="4" t="s">
        <v>45</v>
      </c>
      <c r="J372" s="4" t="s">
        <v>15</v>
      </c>
      <c r="K372" s="4" t="s">
        <v>16</v>
      </c>
      <c r="L372" s="7" t="s">
        <v>17</v>
      </c>
    </row>
    <row r="373" spans="1:12" ht="15" thickBot="1" x14ac:dyDescent="0.35">
      <c r="A373" s="8">
        <v>372</v>
      </c>
      <c r="B373" s="9" t="s">
        <v>102</v>
      </c>
      <c r="C373" s="9" t="s">
        <v>634</v>
      </c>
      <c r="D373" s="9">
        <v>1</v>
      </c>
      <c r="E373" s="9" t="s">
        <v>633</v>
      </c>
      <c r="F373" s="11">
        <v>0.57437499999999997</v>
      </c>
      <c r="G373" s="9">
        <v>9.75</v>
      </c>
      <c r="H373" s="9">
        <v>9.75</v>
      </c>
      <c r="I373" s="9" t="s">
        <v>45</v>
      </c>
      <c r="J373" s="9" t="s">
        <v>15</v>
      </c>
      <c r="K373" s="9" t="s">
        <v>41</v>
      </c>
      <c r="L373" s="12" t="s">
        <v>42</v>
      </c>
    </row>
    <row r="374" spans="1:12" ht="29.4" thickBot="1" x14ac:dyDescent="0.35">
      <c r="A374" s="3">
        <v>373</v>
      </c>
      <c r="B374" s="4" t="s">
        <v>175</v>
      </c>
      <c r="C374" s="4" t="s">
        <v>635</v>
      </c>
      <c r="D374" s="4">
        <v>1</v>
      </c>
      <c r="E374" s="4" t="s">
        <v>633</v>
      </c>
      <c r="F374" s="6">
        <v>0.58243055555555556</v>
      </c>
      <c r="G374" s="4">
        <v>16.5</v>
      </c>
      <c r="H374" s="4">
        <v>16.5</v>
      </c>
      <c r="I374" s="4" t="s">
        <v>14</v>
      </c>
      <c r="J374" s="4" t="s">
        <v>31</v>
      </c>
      <c r="K374" s="4" t="s">
        <v>46</v>
      </c>
      <c r="L374" s="7" t="s">
        <v>47</v>
      </c>
    </row>
    <row r="375" spans="1:12" ht="29.4" thickBot="1" x14ac:dyDescent="0.35">
      <c r="A375" s="8">
        <v>374</v>
      </c>
      <c r="B375" s="9" t="s">
        <v>29</v>
      </c>
      <c r="C375" s="9" t="s">
        <v>636</v>
      </c>
      <c r="D375" s="9">
        <v>1</v>
      </c>
      <c r="E375" s="9" t="s">
        <v>633</v>
      </c>
      <c r="F375" s="11">
        <v>0.65659722222222228</v>
      </c>
      <c r="G375" s="9">
        <v>20.75</v>
      </c>
      <c r="H375" s="9">
        <v>20.75</v>
      </c>
      <c r="I375" s="9" t="s">
        <v>20</v>
      </c>
      <c r="J375" s="9" t="s">
        <v>31</v>
      </c>
      <c r="K375" s="9" t="s">
        <v>32</v>
      </c>
      <c r="L375" s="12" t="s">
        <v>33</v>
      </c>
    </row>
    <row r="376" spans="1:12" ht="29.4" thickBot="1" x14ac:dyDescent="0.35">
      <c r="A376" s="3">
        <v>375</v>
      </c>
      <c r="B376" s="4" t="s">
        <v>493</v>
      </c>
      <c r="C376" s="4" t="s">
        <v>637</v>
      </c>
      <c r="D376" s="4">
        <v>1</v>
      </c>
      <c r="E376" s="4" t="s">
        <v>638</v>
      </c>
      <c r="F376" s="6">
        <v>0.79863425925925924</v>
      </c>
      <c r="G376" s="4">
        <v>11</v>
      </c>
      <c r="H376" s="4">
        <v>11</v>
      </c>
      <c r="I376" s="4" t="s">
        <v>45</v>
      </c>
      <c r="J376" s="4" t="s">
        <v>15</v>
      </c>
      <c r="K376" s="4" t="s">
        <v>440</v>
      </c>
      <c r="L376" s="7" t="s">
        <v>441</v>
      </c>
    </row>
    <row r="377" spans="1:12" ht="29.4" thickBot="1" x14ac:dyDescent="0.35">
      <c r="A377" s="8">
        <v>376</v>
      </c>
      <c r="B377" s="9" t="s">
        <v>487</v>
      </c>
      <c r="C377" s="9" t="s">
        <v>639</v>
      </c>
      <c r="D377" s="9">
        <v>1</v>
      </c>
      <c r="E377" s="10">
        <v>42014</v>
      </c>
      <c r="F377" s="11">
        <v>0.51894675925925926</v>
      </c>
      <c r="G377" s="9">
        <v>20.5</v>
      </c>
      <c r="H377" s="9">
        <v>20.5</v>
      </c>
      <c r="I377" s="9" t="s">
        <v>20</v>
      </c>
      <c r="J377" s="9" t="s">
        <v>15</v>
      </c>
      <c r="K377" s="9" t="s">
        <v>16</v>
      </c>
      <c r="L377" s="12" t="s">
        <v>17</v>
      </c>
    </row>
    <row r="378" spans="1:12" ht="29.4" thickBot="1" x14ac:dyDescent="0.35">
      <c r="A378" s="3">
        <v>377</v>
      </c>
      <c r="B378" s="4" t="s">
        <v>208</v>
      </c>
      <c r="C378" s="4" t="s">
        <v>640</v>
      </c>
      <c r="D378" s="4">
        <v>1</v>
      </c>
      <c r="E378" s="5">
        <v>42014</v>
      </c>
      <c r="F378" s="6">
        <v>0.63788194444444446</v>
      </c>
      <c r="G378" s="4">
        <v>12</v>
      </c>
      <c r="H378" s="4">
        <v>12</v>
      </c>
      <c r="I378" s="4" t="s">
        <v>45</v>
      </c>
      <c r="J378" s="4" t="s">
        <v>15</v>
      </c>
      <c r="K378" s="4" t="s">
        <v>210</v>
      </c>
      <c r="L378" s="7" t="s">
        <v>211</v>
      </c>
    </row>
    <row r="379" spans="1:12" ht="29.4" thickBot="1" x14ac:dyDescent="0.35">
      <c r="A379" s="8">
        <v>378</v>
      </c>
      <c r="B379" s="9" t="s">
        <v>93</v>
      </c>
      <c r="C379" s="9" t="s">
        <v>641</v>
      </c>
      <c r="D379" s="9">
        <v>1</v>
      </c>
      <c r="E379" s="10">
        <v>42014</v>
      </c>
      <c r="F379" s="11">
        <v>0.81263888888888891</v>
      </c>
      <c r="G379" s="9">
        <v>16.5</v>
      </c>
      <c r="H379" s="9">
        <v>16.5</v>
      </c>
      <c r="I379" s="9" t="s">
        <v>14</v>
      </c>
      <c r="J379" s="9" t="s">
        <v>31</v>
      </c>
      <c r="K379" s="9" t="s">
        <v>95</v>
      </c>
      <c r="L379" s="12" t="s">
        <v>96</v>
      </c>
    </row>
    <row r="380" spans="1:12" ht="43.8" thickBot="1" x14ac:dyDescent="0.35">
      <c r="A380" s="3">
        <v>379</v>
      </c>
      <c r="B380" s="4" t="s">
        <v>58</v>
      </c>
      <c r="C380" s="4" t="s">
        <v>642</v>
      </c>
      <c r="D380" s="4">
        <v>1</v>
      </c>
      <c r="E380" s="5">
        <v>42014</v>
      </c>
      <c r="F380" s="6">
        <v>0.87516203703703699</v>
      </c>
      <c r="G380" s="4">
        <v>17.95</v>
      </c>
      <c r="H380" s="4">
        <v>17.95</v>
      </c>
      <c r="I380" s="4" t="s">
        <v>20</v>
      </c>
      <c r="J380" s="4" t="s">
        <v>26</v>
      </c>
      <c r="K380" s="4" t="s">
        <v>60</v>
      </c>
      <c r="L380" s="7" t="s">
        <v>61</v>
      </c>
    </row>
    <row r="381" spans="1:12" ht="29.4" thickBot="1" x14ac:dyDescent="0.35">
      <c r="A381" s="8">
        <v>380</v>
      </c>
      <c r="B381" s="9" t="s">
        <v>604</v>
      </c>
      <c r="C381" s="9" t="s">
        <v>643</v>
      </c>
      <c r="D381" s="9">
        <v>1</v>
      </c>
      <c r="E381" s="10">
        <v>42045</v>
      </c>
      <c r="F381" s="11">
        <v>0.55971064814814819</v>
      </c>
      <c r="G381" s="9">
        <v>12.75</v>
      </c>
      <c r="H381" s="9">
        <v>12.75</v>
      </c>
      <c r="I381" s="9" t="s">
        <v>45</v>
      </c>
      <c r="J381" s="9" t="s">
        <v>21</v>
      </c>
      <c r="K381" s="9" t="s">
        <v>156</v>
      </c>
      <c r="L381" s="12" t="s">
        <v>157</v>
      </c>
    </row>
    <row r="382" spans="1:12" ht="15" thickBot="1" x14ac:dyDescent="0.35">
      <c r="A382" s="3">
        <v>381</v>
      </c>
      <c r="B382" s="4" t="s">
        <v>39</v>
      </c>
      <c r="C382" s="4" t="s">
        <v>644</v>
      </c>
      <c r="D382" s="4">
        <v>1</v>
      </c>
      <c r="E382" s="5">
        <v>42045</v>
      </c>
      <c r="F382" s="6">
        <v>0.79443287037037036</v>
      </c>
      <c r="G382" s="4">
        <v>15.25</v>
      </c>
      <c r="H382" s="4">
        <v>15.25</v>
      </c>
      <c r="I382" s="4" t="s">
        <v>20</v>
      </c>
      <c r="J382" s="4" t="s">
        <v>15</v>
      </c>
      <c r="K382" s="4" t="s">
        <v>41</v>
      </c>
      <c r="L382" s="7" t="s">
        <v>42</v>
      </c>
    </row>
    <row r="383" spans="1:12" ht="15" thickBot="1" x14ac:dyDescent="0.35">
      <c r="A383" s="8">
        <v>382</v>
      </c>
      <c r="B383" s="9" t="s">
        <v>102</v>
      </c>
      <c r="C383" s="9" t="s">
        <v>645</v>
      </c>
      <c r="D383" s="9">
        <v>1</v>
      </c>
      <c r="E383" s="10">
        <v>42073</v>
      </c>
      <c r="F383" s="11">
        <v>0.67178240740740736</v>
      </c>
      <c r="G383" s="9">
        <v>9.75</v>
      </c>
      <c r="H383" s="9">
        <v>9.75</v>
      </c>
      <c r="I383" s="9" t="s">
        <v>45</v>
      </c>
      <c r="J383" s="9" t="s">
        <v>15</v>
      </c>
      <c r="K383" s="9" t="s">
        <v>41</v>
      </c>
      <c r="L383" s="12" t="s">
        <v>42</v>
      </c>
    </row>
    <row r="384" spans="1:12" ht="29.4" thickBot="1" x14ac:dyDescent="0.35">
      <c r="A384" s="3">
        <v>383</v>
      </c>
      <c r="B384" s="4" t="s">
        <v>12</v>
      </c>
      <c r="C384" s="4" t="s">
        <v>646</v>
      </c>
      <c r="D384" s="4">
        <v>1</v>
      </c>
      <c r="E384" s="5">
        <v>42073</v>
      </c>
      <c r="F384" s="6">
        <v>0.7650231481481482</v>
      </c>
      <c r="G384" s="4">
        <v>16</v>
      </c>
      <c r="H384" s="4">
        <v>16</v>
      </c>
      <c r="I384" s="4" t="s">
        <v>14</v>
      </c>
      <c r="J384" s="4" t="s">
        <v>15</v>
      </c>
      <c r="K384" s="4" t="s">
        <v>16</v>
      </c>
      <c r="L384" s="7" t="s">
        <v>17</v>
      </c>
    </row>
    <row r="385" spans="1:12" ht="43.8" thickBot="1" x14ac:dyDescent="0.35">
      <c r="A385" s="8">
        <v>384</v>
      </c>
      <c r="B385" s="9" t="s">
        <v>58</v>
      </c>
      <c r="C385" s="9" t="s">
        <v>647</v>
      </c>
      <c r="D385" s="9">
        <v>2</v>
      </c>
      <c r="E385" s="10">
        <v>42104</v>
      </c>
      <c r="F385" s="11">
        <v>0.58589120370370373</v>
      </c>
      <c r="G385" s="9">
        <v>17.95</v>
      </c>
      <c r="H385" s="9">
        <v>35.9</v>
      </c>
      <c r="I385" s="9" t="s">
        <v>20</v>
      </c>
      <c r="J385" s="9" t="s">
        <v>26</v>
      </c>
      <c r="K385" s="9" t="s">
        <v>60</v>
      </c>
      <c r="L385" s="12" t="s">
        <v>61</v>
      </c>
    </row>
    <row r="386" spans="1:12" ht="29.4" thickBot="1" x14ac:dyDescent="0.35">
      <c r="A386" s="3">
        <v>385</v>
      </c>
      <c r="B386" s="4" t="s">
        <v>18</v>
      </c>
      <c r="C386" s="4" t="s">
        <v>648</v>
      </c>
      <c r="D386" s="4">
        <v>1</v>
      </c>
      <c r="E386" s="5">
        <v>42104</v>
      </c>
      <c r="F386" s="6">
        <v>0.59458333333333335</v>
      </c>
      <c r="G386" s="4">
        <v>20.75</v>
      </c>
      <c r="H386" s="4">
        <v>20.75</v>
      </c>
      <c r="I386" s="4" t="s">
        <v>20</v>
      </c>
      <c r="J386" s="4" t="s">
        <v>21</v>
      </c>
      <c r="K386" s="4" t="s">
        <v>22</v>
      </c>
      <c r="L386" s="7" t="s">
        <v>23</v>
      </c>
    </row>
    <row r="387" spans="1:12" ht="29.4" thickBot="1" x14ac:dyDescent="0.35">
      <c r="A387" s="8">
        <v>386</v>
      </c>
      <c r="B387" s="9" t="s">
        <v>52</v>
      </c>
      <c r="C387" s="9" t="s">
        <v>649</v>
      </c>
      <c r="D387" s="9">
        <v>1</v>
      </c>
      <c r="E387" s="10">
        <v>42104</v>
      </c>
      <c r="F387" s="11">
        <v>0.74512731481481487</v>
      </c>
      <c r="G387" s="9">
        <v>12.5</v>
      </c>
      <c r="H387" s="9">
        <v>12.5</v>
      </c>
      <c r="I387" s="9" t="s">
        <v>45</v>
      </c>
      <c r="J387" s="9" t="s">
        <v>31</v>
      </c>
      <c r="K387" s="9" t="s">
        <v>32</v>
      </c>
      <c r="L387" s="12" t="s">
        <v>33</v>
      </c>
    </row>
    <row r="388" spans="1:12" ht="29.4" thickBot="1" x14ac:dyDescent="0.35">
      <c r="A388" s="3">
        <v>387</v>
      </c>
      <c r="B388" s="4" t="s">
        <v>243</v>
      </c>
      <c r="C388" s="4" t="s">
        <v>650</v>
      </c>
      <c r="D388" s="4">
        <v>1</v>
      </c>
      <c r="E388" s="5">
        <v>42195</v>
      </c>
      <c r="F388" s="6">
        <v>0.53081018518518519</v>
      </c>
      <c r="G388" s="4">
        <v>12.5</v>
      </c>
      <c r="H388" s="4">
        <v>12.5</v>
      </c>
      <c r="I388" s="4" t="s">
        <v>45</v>
      </c>
      <c r="J388" s="4" t="s">
        <v>31</v>
      </c>
      <c r="K388" s="4" t="s">
        <v>50</v>
      </c>
      <c r="L388" s="7" t="s">
        <v>51</v>
      </c>
    </row>
    <row r="389" spans="1:12" ht="29.4" thickBot="1" x14ac:dyDescent="0.35">
      <c r="A389" s="8">
        <v>388</v>
      </c>
      <c r="B389" s="9" t="s">
        <v>231</v>
      </c>
      <c r="C389" s="9" t="s">
        <v>651</v>
      </c>
      <c r="D389" s="9">
        <v>1</v>
      </c>
      <c r="E389" s="10">
        <v>42226</v>
      </c>
      <c r="F389" s="11">
        <v>0.57097222222222221</v>
      </c>
      <c r="G389" s="9">
        <v>16.5</v>
      </c>
      <c r="H389" s="9">
        <v>16.5</v>
      </c>
      <c r="I389" s="9" t="s">
        <v>14</v>
      </c>
      <c r="J389" s="9" t="s">
        <v>31</v>
      </c>
      <c r="K389" s="9" t="s">
        <v>71</v>
      </c>
      <c r="L389" s="12" t="s">
        <v>72</v>
      </c>
    </row>
    <row r="390" spans="1:12" ht="43.8" thickBot="1" x14ac:dyDescent="0.35">
      <c r="A390" s="3">
        <v>389</v>
      </c>
      <c r="B390" s="4" t="s">
        <v>184</v>
      </c>
      <c r="C390" s="4" t="s">
        <v>652</v>
      </c>
      <c r="D390" s="4">
        <v>1</v>
      </c>
      <c r="E390" s="5">
        <v>42226</v>
      </c>
      <c r="F390" s="6">
        <v>0.78057870370370375</v>
      </c>
      <c r="G390" s="4">
        <v>20.75</v>
      </c>
      <c r="H390" s="4">
        <v>20.75</v>
      </c>
      <c r="I390" s="4" t="s">
        <v>20</v>
      </c>
      <c r="J390" s="4" t="s">
        <v>21</v>
      </c>
      <c r="K390" s="4" t="s">
        <v>100</v>
      </c>
      <c r="L390" s="7" t="s">
        <v>101</v>
      </c>
    </row>
    <row r="391" spans="1:12" ht="29.4" thickBot="1" x14ac:dyDescent="0.35">
      <c r="A391" s="8">
        <v>390</v>
      </c>
      <c r="B391" s="9" t="s">
        <v>339</v>
      </c>
      <c r="C391" s="9" t="s">
        <v>653</v>
      </c>
      <c r="D391" s="9">
        <v>1</v>
      </c>
      <c r="E391" s="10">
        <v>42257</v>
      </c>
      <c r="F391" s="11">
        <v>0.62358796296296293</v>
      </c>
      <c r="G391" s="9">
        <v>12.75</v>
      </c>
      <c r="H391" s="9">
        <v>12.75</v>
      </c>
      <c r="I391" s="9" t="s">
        <v>45</v>
      </c>
      <c r="J391" s="9" t="s">
        <v>21</v>
      </c>
      <c r="K391" s="9" t="s">
        <v>22</v>
      </c>
      <c r="L391" s="12" t="s">
        <v>23</v>
      </c>
    </row>
    <row r="392" spans="1:12" ht="29.4" thickBot="1" x14ac:dyDescent="0.35">
      <c r="A392" s="3">
        <v>391</v>
      </c>
      <c r="B392" s="4" t="s">
        <v>204</v>
      </c>
      <c r="C392" s="4" t="s">
        <v>654</v>
      </c>
      <c r="D392" s="4">
        <v>1</v>
      </c>
      <c r="E392" s="5">
        <v>42257</v>
      </c>
      <c r="F392" s="6">
        <v>0.73450231481481476</v>
      </c>
      <c r="G392" s="4">
        <v>20.5</v>
      </c>
      <c r="H392" s="4">
        <v>20.5</v>
      </c>
      <c r="I392" s="4" t="s">
        <v>20</v>
      </c>
      <c r="J392" s="4" t="s">
        <v>15</v>
      </c>
      <c r="K392" s="4" t="s">
        <v>206</v>
      </c>
      <c r="L392" s="7" t="s">
        <v>207</v>
      </c>
    </row>
    <row r="393" spans="1:12" ht="43.8" thickBot="1" x14ac:dyDescent="0.35">
      <c r="A393" s="8">
        <v>392</v>
      </c>
      <c r="B393" s="9" t="s">
        <v>125</v>
      </c>
      <c r="C393" s="9" t="s">
        <v>610</v>
      </c>
      <c r="D393" s="9">
        <v>1</v>
      </c>
      <c r="E393" s="10">
        <v>42287</v>
      </c>
      <c r="F393" s="11">
        <v>0.48413194444444446</v>
      </c>
      <c r="G393" s="9">
        <v>20.75</v>
      </c>
      <c r="H393" s="9">
        <v>20.75</v>
      </c>
      <c r="I393" s="9" t="s">
        <v>20</v>
      </c>
      <c r="J393" s="9" t="s">
        <v>21</v>
      </c>
      <c r="K393" s="9" t="s">
        <v>87</v>
      </c>
      <c r="L393" s="12" t="s">
        <v>88</v>
      </c>
    </row>
    <row r="394" spans="1:12" ht="29.4" thickBot="1" x14ac:dyDescent="0.35">
      <c r="A394" s="3">
        <v>393</v>
      </c>
      <c r="B394" s="4" t="s">
        <v>361</v>
      </c>
      <c r="C394" s="4" t="s">
        <v>655</v>
      </c>
      <c r="D394" s="4">
        <v>1</v>
      </c>
      <c r="E394" s="4" t="s">
        <v>656</v>
      </c>
      <c r="F394" s="6">
        <v>0.47657407407407409</v>
      </c>
      <c r="G394" s="4">
        <v>20.25</v>
      </c>
      <c r="H394" s="4">
        <v>20.25</v>
      </c>
      <c r="I394" s="4" t="s">
        <v>20</v>
      </c>
      <c r="J394" s="4" t="s">
        <v>26</v>
      </c>
      <c r="K394" s="4" t="s">
        <v>313</v>
      </c>
      <c r="L394" s="7" t="s">
        <v>314</v>
      </c>
    </row>
    <row r="395" spans="1:12" ht="29.4" thickBot="1" x14ac:dyDescent="0.35">
      <c r="A395" s="8">
        <v>394</v>
      </c>
      <c r="B395" s="9" t="s">
        <v>173</v>
      </c>
      <c r="C395" s="9" t="s">
        <v>657</v>
      </c>
      <c r="D395" s="9">
        <v>1</v>
      </c>
      <c r="E395" s="9" t="s">
        <v>656</v>
      </c>
      <c r="F395" s="11">
        <v>0.64156250000000004</v>
      </c>
      <c r="G395" s="9">
        <v>16.25</v>
      </c>
      <c r="H395" s="9">
        <v>16.25</v>
      </c>
      <c r="I395" s="9" t="s">
        <v>14</v>
      </c>
      <c r="J395" s="9" t="s">
        <v>31</v>
      </c>
      <c r="K395" s="9" t="s">
        <v>80</v>
      </c>
      <c r="L395" s="12" t="s">
        <v>81</v>
      </c>
    </row>
    <row r="396" spans="1:12" ht="29.4" thickBot="1" x14ac:dyDescent="0.35">
      <c r="A396" s="3">
        <v>395</v>
      </c>
      <c r="B396" s="4" t="s">
        <v>221</v>
      </c>
      <c r="C396" s="4" t="s">
        <v>658</v>
      </c>
      <c r="D396" s="4">
        <v>1</v>
      </c>
      <c r="E396" s="4" t="s">
        <v>659</v>
      </c>
      <c r="F396" s="6">
        <v>0.51223379629629628</v>
      </c>
      <c r="G396" s="4">
        <v>12</v>
      </c>
      <c r="H396" s="4">
        <v>12</v>
      </c>
      <c r="I396" s="4" t="s">
        <v>45</v>
      </c>
      <c r="J396" s="4" t="s">
        <v>26</v>
      </c>
      <c r="K396" s="4" t="s">
        <v>224</v>
      </c>
      <c r="L396" s="7" t="s">
        <v>225</v>
      </c>
    </row>
    <row r="397" spans="1:12" ht="29.4" thickBot="1" x14ac:dyDescent="0.35">
      <c r="A397" s="8">
        <v>396</v>
      </c>
      <c r="B397" s="9" t="s">
        <v>344</v>
      </c>
      <c r="C397" s="9" t="s">
        <v>660</v>
      </c>
      <c r="D397" s="9">
        <v>1</v>
      </c>
      <c r="E397" s="9" t="s">
        <v>659</v>
      </c>
      <c r="F397" s="11">
        <v>0.75633101851851847</v>
      </c>
      <c r="G397" s="9">
        <v>16.5</v>
      </c>
      <c r="H397" s="9">
        <v>16.5</v>
      </c>
      <c r="I397" s="9" t="s">
        <v>14</v>
      </c>
      <c r="J397" s="9" t="s">
        <v>31</v>
      </c>
      <c r="K397" s="9" t="s">
        <v>32</v>
      </c>
      <c r="L397" s="12" t="s">
        <v>33</v>
      </c>
    </row>
    <row r="398" spans="1:12" ht="29.4" thickBot="1" x14ac:dyDescent="0.35">
      <c r="A398" s="3">
        <v>397</v>
      </c>
      <c r="B398" s="4" t="s">
        <v>29</v>
      </c>
      <c r="C398" s="4" t="s">
        <v>661</v>
      </c>
      <c r="D398" s="4">
        <v>1</v>
      </c>
      <c r="E398" s="4" t="s">
        <v>662</v>
      </c>
      <c r="F398" s="6">
        <v>0.55797453703703703</v>
      </c>
      <c r="G398" s="4">
        <v>20.75</v>
      </c>
      <c r="H398" s="4">
        <v>20.75</v>
      </c>
      <c r="I398" s="4" t="s">
        <v>20</v>
      </c>
      <c r="J398" s="4" t="s">
        <v>31</v>
      </c>
      <c r="K398" s="4" t="s">
        <v>32</v>
      </c>
      <c r="L398" s="7" t="s">
        <v>33</v>
      </c>
    </row>
    <row r="399" spans="1:12" ht="43.8" thickBot="1" x14ac:dyDescent="0.35">
      <c r="A399" s="8">
        <v>398</v>
      </c>
      <c r="B399" s="9" t="s">
        <v>184</v>
      </c>
      <c r="C399" s="9" t="s">
        <v>663</v>
      </c>
      <c r="D399" s="9">
        <v>1</v>
      </c>
      <c r="E399" s="9" t="s">
        <v>662</v>
      </c>
      <c r="F399" s="11">
        <v>0.55797453703703703</v>
      </c>
      <c r="G399" s="9">
        <v>20.75</v>
      </c>
      <c r="H399" s="9">
        <v>20.75</v>
      </c>
      <c r="I399" s="9" t="s">
        <v>20</v>
      </c>
      <c r="J399" s="9" t="s">
        <v>21</v>
      </c>
      <c r="K399" s="9" t="s">
        <v>100</v>
      </c>
      <c r="L399" s="12" t="s">
        <v>101</v>
      </c>
    </row>
    <row r="400" spans="1:12" ht="43.8" thickBot="1" x14ac:dyDescent="0.35">
      <c r="A400" s="3">
        <v>399</v>
      </c>
      <c r="B400" s="4" t="s">
        <v>58</v>
      </c>
      <c r="C400" s="4" t="s">
        <v>664</v>
      </c>
      <c r="D400" s="4">
        <v>1</v>
      </c>
      <c r="E400" s="4" t="s">
        <v>662</v>
      </c>
      <c r="F400" s="6">
        <v>0.84521990740740738</v>
      </c>
      <c r="G400" s="4">
        <v>17.95</v>
      </c>
      <c r="H400" s="4">
        <v>17.95</v>
      </c>
      <c r="I400" s="4" t="s">
        <v>20</v>
      </c>
      <c r="J400" s="4" t="s">
        <v>26</v>
      </c>
      <c r="K400" s="4" t="s">
        <v>60</v>
      </c>
      <c r="L400" s="7" t="s">
        <v>61</v>
      </c>
    </row>
    <row r="401" spans="1:12" ht="29.4" thickBot="1" x14ac:dyDescent="0.35">
      <c r="A401" s="8">
        <v>400</v>
      </c>
      <c r="B401" s="9" t="s">
        <v>151</v>
      </c>
      <c r="C401" s="9" t="s">
        <v>665</v>
      </c>
      <c r="D401" s="9">
        <v>1</v>
      </c>
      <c r="E401" s="9" t="s">
        <v>666</v>
      </c>
      <c r="F401" s="11">
        <v>0.81879629629629624</v>
      </c>
      <c r="G401" s="9">
        <v>20.5</v>
      </c>
      <c r="H401" s="9">
        <v>20.5</v>
      </c>
      <c r="I401" s="9" t="s">
        <v>20</v>
      </c>
      <c r="J401" s="9" t="s">
        <v>15</v>
      </c>
      <c r="K401" s="9" t="s">
        <v>37</v>
      </c>
      <c r="L401" s="12" t="s">
        <v>38</v>
      </c>
    </row>
    <row r="402" spans="1:12" ht="29.4" thickBot="1" x14ac:dyDescent="0.35">
      <c r="A402" s="3">
        <v>401</v>
      </c>
      <c r="B402" s="4" t="s">
        <v>518</v>
      </c>
      <c r="C402" s="4" t="s">
        <v>667</v>
      </c>
      <c r="D402" s="4">
        <v>1</v>
      </c>
      <c r="E402" s="4" t="s">
        <v>668</v>
      </c>
      <c r="F402" s="6">
        <v>0.54703703703703699</v>
      </c>
      <c r="G402" s="4">
        <v>20.5</v>
      </c>
      <c r="H402" s="4">
        <v>20.5</v>
      </c>
      <c r="I402" s="4" t="s">
        <v>20</v>
      </c>
      <c r="J402" s="4" t="s">
        <v>15</v>
      </c>
      <c r="K402" s="4" t="s">
        <v>210</v>
      </c>
      <c r="L402" s="7" t="s">
        <v>211</v>
      </c>
    </row>
    <row r="403" spans="1:12" ht="29.4" thickBot="1" x14ac:dyDescent="0.35">
      <c r="A403" s="8">
        <v>402</v>
      </c>
      <c r="B403" s="9" t="s">
        <v>201</v>
      </c>
      <c r="C403" s="9" t="s">
        <v>669</v>
      </c>
      <c r="D403" s="9">
        <v>1</v>
      </c>
      <c r="E403" s="9" t="s">
        <v>670</v>
      </c>
      <c r="F403" s="11">
        <v>0.843287037037037</v>
      </c>
      <c r="G403" s="9">
        <v>12</v>
      </c>
      <c r="H403" s="9">
        <v>12</v>
      </c>
      <c r="I403" s="9" t="s">
        <v>45</v>
      </c>
      <c r="J403" s="9" t="s">
        <v>15</v>
      </c>
      <c r="K403" s="9" t="s">
        <v>16</v>
      </c>
      <c r="L403" s="12" t="s">
        <v>17</v>
      </c>
    </row>
    <row r="404" spans="1:12" ht="15" thickBot="1" x14ac:dyDescent="0.35">
      <c r="A404" s="3">
        <v>403</v>
      </c>
      <c r="B404" s="4" t="s">
        <v>317</v>
      </c>
      <c r="C404" s="4" t="s">
        <v>671</v>
      </c>
      <c r="D404" s="4">
        <v>1</v>
      </c>
      <c r="E404" s="4" t="s">
        <v>672</v>
      </c>
      <c r="F404" s="6">
        <v>0.56393518518518515</v>
      </c>
      <c r="G404" s="4">
        <v>12.5</v>
      </c>
      <c r="H404" s="4">
        <v>12.5</v>
      </c>
      <c r="I404" s="4" t="s">
        <v>14</v>
      </c>
      <c r="J404" s="4" t="s">
        <v>15</v>
      </c>
      <c r="K404" s="4" t="s">
        <v>41</v>
      </c>
      <c r="L404" s="7" t="s">
        <v>42</v>
      </c>
    </row>
    <row r="405" spans="1:12" ht="15" thickBot="1" x14ac:dyDescent="0.35">
      <c r="A405" s="8">
        <v>404</v>
      </c>
      <c r="B405" s="9" t="s">
        <v>317</v>
      </c>
      <c r="C405" s="9" t="s">
        <v>673</v>
      </c>
      <c r="D405" s="9">
        <v>1</v>
      </c>
      <c r="E405" s="9" t="s">
        <v>672</v>
      </c>
      <c r="F405" s="11">
        <v>0.73241898148148143</v>
      </c>
      <c r="G405" s="9">
        <v>12.5</v>
      </c>
      <c r="H405" s="9">
        <v>12.5</v>
      </c>
      <c r="I405" s="9" t="s">
        <v>14</v>
      </c>
      <c r="J405" s="9" t="s">
        <v>15</v>
      </c>
      <c r="K405" s="9" t="s">
        <v>41</v>
      </c>
      <c r="L405" s="12" t="s">
        <v>42</v>
      </c>
    </row>
    <row r="406" spans="1:12" ht="29.4" thickBot="1" x14ac:dyDescent="0.35">
      <c r="A406" s="3">
        <v>405</v>
      </c>
      <c r="B406" s="4" t="s">
        <v>187</v>
      </c>
      <c r="C406" s="4" t="s">
        <v>492</v>
      </c>
      <c r="D406" s="4">
        <v>1</v>
      </c>
      <c r="E406" s="4" t="s">
        <v>674</v>
      </c>
      <c r="F406" s="6">
        <v>0.56388888888888888</v>
      </c>
      <c r="G406" s="4">
        <v>12.5</v>
      </c>
      <c r="H406" s="4">
        <v>12.5</v>
      </c>
      <c r="I406" s="4" t="s">
        <v>45</v>
      </c>
      <c r="J406" s="4" t="s">
        <v>26</v>
      </c>
      <c r="K406" s="4" t="s">
        <v>189</v>
      </c>
      <c r="L406" s="7" t="s">
        <v>190</v>
      </c>
    </row>
    <row r="407" spans="1:12" ht="29.4" thickBot="1" x14ac:dyDescent="0.35">
      <c r="A407" s="8">
        <v>406</v>
      </c>
      <c r="B407" s="9" t="s">
        <v>531</v>
      </c>
      <c r="C407" s="9" t="s">
        <v>675</v>
      </c>
      <c r="D407" s="9">
        <v>1</v>
      </c>
      <c r="E407" s="9" t="s">
        <v>676</v>
      </c>
      <c r="F407" s="11">
        <v>0.77165509259259257</v>
      </c>
      <c r="G407" s="9">
        <v>12</v>
      </c>
      <c r="H407" s="9">
        <v>12</v>
      </c>
      <c r="I407" s="9" t="s">
        <v>45</v>
      </c>
      <c r="J407" s="9" t="s">
        <v>15</v>
      </c>
      <c r="K407" s="9" t="s">
        <v>206</v>
      </c>
      <c r="L407" s="12" t="s">
        <v>207</v>
      </c>
    </row>
    <row r="408" spans="1:12" ht="29.4" thickBot="1" x14ac:dyDescent="0.35">
      <c r="A408" s="3">
        <v>407</v>
      </c>
      <c r="B408" s="4" t="s">
        <v>604</v>
      </c>
      <c r="C408" s="4" t="s">
        <v>677</v>
      </c>
      <c r="D408" s="4">
        <v>1</v>
      </c>
      <c r="E408" s="4" t="s">
        <v>676</v>
      </c>
      <c r="F408" s="6">
        <v>0.84052083333333338</v>
      </c>
      <c r="G408" s="4">
        <v>12.75</v>
      </c>
      <c r="H408" s="4">
        <v>12.75</v>
      </c>
      <c r="I408" s="4" t="s">
        <v>45</v>
      </c>
      <c r="J408" s="4" t="s">
        <v>21</v>
      </c>
      <c r="K408" s="4" t="s">
        <v>156</v>
      </c>
      <c r="L408" s="7" t="s">
        <v>157</v>
      </c>
    </row>
    <row r="409" spans="1:12" ht="29.4" thickBot="1" x14ac:dyDescent="0.35">
      <c r="A409" s="8">
        <v>408</v>
      </c>
      <c r="B409" s="9" t="s">
        <v>112</v>
      </c>
      <c r="C409" s="9" t="s">
        <v>678</v>
      </c>
      <c r="D409" s="9">
        <v>1</v>
      </c>
      <c r="E409" s="9" t="s">
        <v>679</v>
      </c>
      <c r="F409" s="11">
        <v>0.81395833333333334</v>
      </c>
      <c r="G409" s="9">
        <v>20.75</v>
      </c>
      <c r="H409" s="9">
        <v>20.75</v>
      </c>
      <c r="I409" s="9" t="s">
        <v>20</v>
      </c>
      <c r="J409" s="9" t="s">
        <v>21</v>
      </c>
      <c r="K409" s="9" t="s">
        <v>115</v>
      </c>
      <c r="L409" s="12" t="s">
        <v>116</v>
      </c>
    </row>
    <row r="410" spans="1:12" ht="29.4" thickBot="1" x14ac:dyDescent="0.35">
      <c r="A410" s="3">
        <v>409</v>
      </c>
      <c r="B410" s="4" t="s">
        <v>201</v>
      </c>
      <c r="C410" s="4" t="s">
        <v>680</v>
      </c>
      <c r="D410" s="4">
        <v>1</v>
      </c>
      <c r="E410" s="4" t="s">
        <v>679</v>
      </c>
      <c r="F410" s="6">
        <v>0.93402777777777779</v>
      </c>
      <c r="G410" s="4">
        <v>12</v>
      </c>
      <c r="H410" s="4">
        <v>12</v>
      </c>
      <c r="I410" s="4" t="s">
        <v>45</v>
      </c>
      <c r="J410" s="4" t="s">
        <v>15</v>
      </c>
      <c r="K410" s="4" t="s">
        <v>16</v>
      </c>
      <c r="L410" s="7" t="s">
        <v>17</v>
      </c>
    </row>
    <row r="411" spans="1:12" ht="29.4" thickBot="1" x14ac:dyDescent="0.35">
      <c r="A411" s="8">
        <v>410</v>
      </c>
      <c r="B411" s="9" t="s">
        <v>140</v>
      </c>
      <c r="C411" s="9" t="s">
        <v>681</v>
      </c>
      <c r="D411" s="9">
        <v>1</v>
      </c>
      <c r="E411" s="9" t="s">
        <v>682</v>
      </c>
      <c r="F411" s="11">
        <v>0.7905092592592593</v>
      </c>
      <c r="G411" s="9">
        <v>12.5</v>
      </c>
      <c r="H411" s="9">
        <v>12.5</v>
      </c>
      <c r="I411" s="9" t="s">
        <v>45</v>
      </c>
      <c r="J411" s="9" t="s">
        <v>31</v>
      </c>
      <c r="K411" s="9" t="s">
        <v>95</v>
      </c>
      <c r="L411" s="12" t="s">
        <v>96</v>
      </c>
    </row>
    <row r="412" spans="1:12" ht="29.4" thickBot="1" x14ac:dyDescent="0.35">
      <c r="A412" s="3">
        <v>411</v>
      </c>
      <c r="B412" s="4" t="s">
        <v>281</v>
      </c>
      <c r="C412" s="4" t="s">
        <v>683</v>
      </c>
      <c r="D412" s="4">
        <v>1</v>
      </c>
      <c r="E412" s="4" t="s">
        <v>682</v>
      </c>
      <c r="F412" s="6">
        <v>0.83138888888888884</v>
      </c>
      <c r="G412" s="4">
        <v>20.75</v>
      </c>
      <c r="H412" s="4">
        <v>20.75</v>
      </c>
      <c r="I412" s="4" t="s">
        <v>20</v>
      </c>
      <c r="J412" s="4" t="s">
        <v>21</v>
      </c>
      <c r="K412" s="4" t="s">
        <v>147</v>
      </c>
      <c r="L412" s="7" t="s">
        <v>148</v>
      </c>
    </row>
    <row r="413" spans="1:12" ht="43.8" thickBot="1" x14ac:dyDescent="0.35">
      <c r="A413" s="8">
        <v>412</v>
      </c>
      <c r="B413" s="9" t="s">
        <v>84</v>
      </c>
      <c r="C413" s="9" t="s">
        <v>684</v>
      </c>
      <c r="D413" s="9">
        <v>1</v>
      </c>
      <c r="E413" s="9" t="s">
        <v>685</v>
      </c>
      <c r="F413" s="11">
        <v>0.69579861111111108</v>
      </c>
      <c r="G413" s="9">
        <v>12.75</v>
      </c>
      <c r="H413" s="9">
        <v>12.75</v>
      </c>
      <c r="I413" s="9" t="s">
        <v>45</v>
      </c>
      <c r="J413" s="9" t="s">
        <v>21</v>
      </c>
      <c r="K413" s="9" t="s">
        <v>87</v>
      </c>
      <c r="L413" s="12" t="s">
        <v>88</v>
      </c>
    </row>
    <row r="414" spans="1:12" ht="43.8" thickBot="1" x14ac:dyDescent="0.35">
      <c r="A414" s="3">
        <v>413</v>
      </c>
      <c r="B414" s="4" t="s">
        <v>576</v>
      </c>
      <c r="C414" s="4" t="s">
        <v>686</v>
      </c>
      <c r="D414" s="4">
        <v>1</v>
      </c>
      <c r="E414" s="4" t="s">
        <v>685</v>
      </c>
      <c r="F414" s="6">
        <v>0.7028240740740741</v>
      </c>
      <c r="G414" s="4">
        <v>12.5</v>
      </c>
      <c r="H414" s="4">
        <v>12.5</v>
      </c>
      <c r="I414" s="4" t="s">
        <v>45</v>
      </c>
      <c r="J414" s="4" t="s">
        <v>31</v>
      </c>
      <c r="K414" s="4" t="s">
        <v>388</v>
      </c>
      <c r="L414" s="7" t="s">
        <v>389</v>
      </c>
    </row>
    <row r="415" spans="1:12" ht="43.8" thickBot="1" x14ac:dyDescent="0.35">
      <c r="A415" s="8">
        <v>414</v>
      </c>
      <c r="B415" s="9" t="s">
        <v>347</v>
      </c>
      <c r="C415" s="9" t="s">
        <v>85</v>
      </c>
      <c r="D415" s="9">
        <v>1</v>
      </c>
      <c r="E415" s="9" t="s">
        <v>687</v>
      </c>
      <c r="F415" s="11">
        <v>0.90797453703703701</v>
      </c>
      <c r="G415" s="9">
        <v>16</v>
      </c>
      <c r="H415" s="9">
        <v>16</v>
      </c>
      <c r="I415" s="9" t="s">
        <v>14</v>
      </c>
      <c r="J415" s="9" t="s">
        <v>26</v>
      </c>
      <c r="K415" s="9" t="s">
        <v>108</v>
      </c>
      <c r="L415" s="12" t="s">
        <v>109</v>
      </c>
    </row>
    <row r="416" spans="1:12" ht="29.4" thickBot="1" x14ac:dyDescent="0.35">
      <c r="A416" s="3">
        <v>415</v>
      </c>
      <c r="B416" s="4" t="s">
        <v>437</v>
      </c>
      <c r="C416" s="4" t="s">
        <v>688</v>
      </c>
      <c r="D416" s="4">
        <v>1</v>
      </c>
      <c r="E416" s="4" t="s">
        <v>689</v>
      </c>
      <c r="F416" s="6">
        <v>0.64322916666666663</v>
      </c>
      <c r="G416" s="4">
        <v>14.5</v>
      </c>
      <c r="H416" s="4">
        <v>14.5</v>
      </c>
      <c r="I416" s="4" t="s">
        <v>14</v>
      </c>
      <c r="J416" s="4" t="s">
        <v>15</v>
      </c>
      <c r="K416" s="4" t="s">
        <v>440</v>
      </c>
      <c r="L416" s="7" t="s">
        <v>441</v>
      </c>
    </row>
    <row r="417" spans="1:12" ht="29.4" thickBot="1" x14ac:dyDescent="0.35">
      <c r="A417" s="8">
        <v>416</v>
      </c>
      <c r="B417" s="9" t="s">
        <v>201</v>
      </c>
      <c r="C417" s="9" t="s">
        <v>690</v>
      </c>
      <c r="D417" s="9">
        <v>1</v>
      </c>
      <c r="E417" s="9" t="s">
        <v>691</v>
      </c>
      <c r="F417" s="11">
        <v>0.75767361111111109</v>
      </c>
      <c r="G417" s="9">
        <v>12</v>
      </c>
      <c r="H417" s="9">
        <v>12</v>
      </c>
      <c r="I417" s="9" t="s">
        <v>45</v>
      </c>
      <c r="J417" s="9" t="s">
        <v>15</v>
      </c>
      <c r="K417" s="9" t="s">
        <v>16</v>
      </c>
      <c r="L417" s="12" t="s">
        <v>17</v>
      </c>
    </row>
    <row r="418" spans="1:12" ht="43.8" thickBot="1" x14ac:dyDescent="0.35">
      <c r="A418" s="3">
        <v>417</v>
      </c>
      <c r="B418" s="4" t="s">
        <v>58</v>
      </c>
      <c r="C418" s="4" t="s">
        <v>692</v>
      </c>
      <c r="D418" s="4">
        <v>1</v>
      </c>
      <c r="E418" s="4" t="s">
        <v>693</v>
      </c>
      <c r="F418" s="6">
        <v>0.51033564814814814</v>
      </c>
      <c r="G418" s="4">
        <v>17.95</v>
      </c>
      <c r="H418" s="4">
        <v>17.95</v>
      </c>
      <c r="I418" s="4" t="s">
        <v>20</v>
      </c>
      <c r="J418" s="4" t="s">
        <v>26</v>
      </c>
      <c r="K418" s="4" t="s">
        <v>60</v>
      </c>
      <c r="L418" s="7" t="s">
        <v>61</v>
      </c>
    </row>
    <row r="419" spans="1:12" ht="29.4" thickBot="1" x14ac:dyDescent="0.35">
      <c r="A419" s="8">
        <v>418</v>
      </c>
      <c r="B419" s="9" t="s">
        <v>694</v>
      </c>
      <c r="C419" s="9" t="s">
        <v>695</v>
      </c>
      <c r="D419" s="9">
        <v>1</v>
      </c>
      <c r="E419" s="9" t="s">
        <v>693</v>
      </c>
      <c r="F419" s="11">
        <v>0.57499999999999996</v>
      </c>
      <c r="G419" s="9">
        <v>17.5</v>
      </c>
      <c r="H419" s="9">
        <v>17.5</v>
      </c>
      <c r="I419" s="9" t="s">
        <v>20</v>
      </c>
      <c r="J419" s="9" t="s">
        <v>15</v>
      </c>
      <c r="K419" s="9" t="s">
        <v>440</v>
      </c>
      <c r="L419" s="12" t="s">
        <v>441</v>
      </c>
    </row>
    <row r="420" spans="1:12" ht="29.4" thickBot="1" x14ac:dyDescent="0.35">
      <c r="A420" s="3">
        <v>419</v>
      </c>
      <c r="B420" s="4" t="s">
        <v>493</v>
      </c>
      <c r="C420" s="4" t="s">
        <v>696</v>
      </c>
      <c r="D420" s="4">
        <v>1</v>
      </c>
      <c r="E420" s="4" t="s">
        <v>693</v>
      </c>
      <c r="F420" s="6">
        <v>0.90435185185185185</v>
      </c>
      <c r="G420" s="4">
        <v>11</v>
      </c>
      <c r="H420" s="4">
        <v>11</v>
      </c>
      <c r="I420" s="4" t="s">
        <v>45</v>
      </c>
      <c r="J420" s="4" t="s">
        <v>15</v>
      </c>
      <c r="K420" s="4" t="s">
        <v>440</v>
      </c>
      <c r="L420" s="7" t="s">
        <v>441</v>
      </c>
    </row>
    <row r="421" spans="1:12" ht="15" thickBot="1" x14ac:dyDescent="0.35">
      <c r="A421" s="8">
        <v>420</v>
      </c>
      <c r="B421" s="9" t="s">
        <v>317</v>
      </c>
      <c r="C421" s="9" t="s">
        <v>298</v>
      </c>
      <c r="D421" s="9">
        <v>1</v>
      </c>
      <c r="E421" s="10">
        <v>42015</v>
      </c>
      <c r="F421" s="11">
        <v>0.6980439814814815</v>
      </c>
      <c r="G421" s="9">
        <v>12.5</v>
      </c>
      <c r="H421" s="9">
        <v>12.5</v>
      </c>
      <c r="I421" s="9" t="s">
        <v>14</v>
      </c>
      <c r="J421" s="9" t="s">
        <v>15</v>
      </c>
      <c r="K421" s="9" t="s">
        <v>41</v>
      </c>
      <c r="L421" s="12" t="s">
        <v>42</v>
      </c>
    </row>
    <row r="422" spans="1:12" ht="29.4" thickBot="1" x14ac:dyDescent="0.35">
      <c r="A422" s="3">
        <v>421</v>
      </c>
      <c r="B422" s="4" t="s">
        <v>487</v>
      </c>
      <c r="C422" s="4" t="s">
        <v>697</v>
      </c>
      <c r="D422" s="4">
        <v>1</v>
      </c>
      <c r="E422" s="5">
        <v>42046</v>
      </c>
      <c r="F422" s="6">
        <v>0.7540162037037037</v>
      </c>
      <c r="G422" s="4">
        <v>20.5</v>
      </c>
      <c r="H422" s="4">
        <v>20.5</v>
      </c>
      <c r="I422" s="4" t="s">
        <v>20</v>
      </c>
      <c r="J422" s="4" t="s">
        <v>15</v>
      </c>
      <c r="K422" s="4" t="s">
        <v>16</v>
      </c>
      <c r="L422" s="7" t="s">
        <v>17</v>
      </c>
    </row>
    <row r="423" spans="1:12" ht="29.4" thickBot="1" x14ac:dyDescent="0.35">
      <c r="A423" s="8">
        <v>422</v>
      </c>
      <c r="B423" s="9" t="s">
        <v>112</v>
      </c>
      <c r="C423" s="9" t="s">
        <v>698</v>
      </c>
      <c r="D423" s="9">
        <v>1</v>
      </c>
      <c r="E423" s="10">
        <v>42074</v>
      </c>
      <c r="F423" s="11">
        <v>0.61768518518518523</v>
      </c>
      <c r="G423" s="9">
        <v>20.75</v>
      </c>
      <c r="H423" s="9">
        <v>20.75</v>
      </c>
      <c r="I423" s="9" t="s">
        <v>20</v>
      </c>
      <c r="J423" s="9" t="s">
        <v>21</v>
      </c>
      <c r="K423" s="9" t="s">
        <v>115</v>
      </c>
      <c r="L423" s="12" t="s">
        <v>116</v>
      </c>
    </row>
    <row r="424" spans="1:12" ht="29.4" thickBot="1" x14ac:dyDescent="0.35">
      <c r="A424" s="3">
        <v>423</v>
      </c>
      <c r="B424" s="4" t="s">
        <v>145</v>
      </c>
      <c r="C424" s="4" t="s">
        <v>699</v>
      </c>
      <c r="D424" s="4">
        <v>1</v>
      </c>
      <c r="E424" s="5">
        <v>42166</v>
      </c>
      <c r="F424" s="6">
        <v>0.51906249999999998</v>
      </c>
      <c r="G424" s="4">
        <v>16.75</v>
      </c>
      <c r="H424" s="4">
        <v>16.75</v>
      </c>
      <c r="I424" s="4" t="s">
        <v>14</v>
      </c>
      <c r="J424" s="4" t="s">
        <v>21</v>
      </c>
      <c r="K424" s="4" t="s">
        <v>147</v>
      </c>
      <c r="L424" s="7" t="s">
        <v>148</v>
      </c>
    </row>
    <row r="425" spans="1:12" ht="29.4" thickBot="1" x14ac:dyDescent="0.35">
      <c r="A425" s="8">
        <v>424</v>
      </c>
      <c r="B425" s="9" t="s">
        <v>700</v>
      </c>
      <c r="C425" s="9" t="s">
        <v>701</v>
      </c>
      <c r="D425" s="9">
        <v>1</v>
      </c>
      <c r="E425" s="10">
        <v>42166</v>
      </c>
      <c r="F425" s="11">
        <v>0.68043981481481486</v>
      </c>
      <c r="G425" s="9">
        <v>12.75</v>
      </c>
      <c r="H425" s="9">
        <v>12.75</v>
      </c>
      <c r="I425" s="9" t="s">
        <v>45</v>
      </c>
      <c r="J425" s="9" t="s">
        <v>21</v>
      </c>
      <c r="K425" s="9" t="s">
        <v>147</v>
      </c>
      <c r="L425" s="12" t="s">
        <v>148</v>
      </c>
    </row>
    <row r="426" spans="1:12" ht="29.4" thickBot="1" x14ac:dyDescent="0.35">
      <c r="A426" s="3">
        <v>425</v>
      </c>
      <c r="B426" s="4" t="s">
        <v>112</v>
      </c>
      <c r="C426" s="4" t="s">
        <v>702</v>
      </c>
      <c r="D426" s="4">
        <v>1</v>
      </c>
      <c r="E426" s="5">
        <v>42166</v>
      </c>
      <c r="F426" s="6">
        <v>0.73512731481481486</v>
      </c>
      <c r="G426" s="4">
        <v>20.75</v>
      </c>
      <c r="H426" s="4">
        <v>20.75</v>
      </c>
      <c r="I426" s="4" t="s">
        <v>20</v>
      </c>
      <c r="J426" s="4" t="s">
        <v>21</v>
      </c>
      <c r="K426" s="4" t="s">
        <v>115</v>
      </c>
      <c r="L426" s="7" t="s">
        <v>116</v>
      </c>
    </row>
    <row r="427" spans="1:12" ht="29.4" thickBot="1" x14ac:dyDescent="0.35">
      <c r="A427" s="8">
        <v>426</v>
      </c>
      <c r="B427" s="9" t="s">
        <v>518</v>
      </c>
      <c r="C427" s="9" t="s">
        <v>703</v>
      </c>
      <c r="D427" s="9">
        <v>1</v>
      </c>
      <c r="E427" s="10">
        <v>42196</v>
      </c>
      <c r="F427" s="11">
        <v>0.69965277777777779</v>
      </c>
      <c r="G427" s="9">
        <v>20.5</v>
      </c>
      <c r="H427" s="9">
        <v>20.5</v>
      </c>
      <c r="I427" s="9" t="s">
        <v>20</v>
      </c>
      <c r="J427" s="9" t="s">
        <v>15</v>
      </c>
      <c r="K427" s="9" t="s">
        <v>210</v>
      </c>
      <c r="L427" s="12" t="s">
        <v>211</v>
      </c>
    </row>
    <row r="428" spans="1:12" ht="43.8" thickBot="1" x14ac:dyDescent="0.35">
      <c r="A428" s="3">
        <v>427</v>
      </c>
      <c r="B428" s="4" t="s">
        <v>105</v>
      </c>
      <c r="C428" s="4" t="s">
        <v>704</v>
      </c>
      <c r="D428" s="4">
        <v>1</v>
      </c>
      <c r="E428" s="5">
        <v>42196</v>
      </c>
      <c r="F428" s="6">
        <v>0.76401620370370371</v>
      </c>
      <c r="G428" s="4">
        <v>20.25</v>
      </c>
      <c r="H428" s="4">
        <v>20.25</v>
      </c>
      <c r="I428" s="4" t="s">
        <v>20</v>
      </c>
      <c r="J428" s="4" t="s">
        <v>26</v>
      </c>
      <c r="K428" s="4" t="s">
        <v>108</v>
      </c>
      <c r="L428" s="7" t="s">
        <v>109</v>
      </c>
    </row>
    <row r="429" spans="1:12" ht="29.4" thickBot="1" x14ac:dyDescent="0.35">
      <c r="A429" s="8">
        <v>428</v>
      </c>
      <c r="B429" s="9" t="s">
        <v>361</v>
      </c>
      <c r="C429" s="9" t="s">
        <v>705</v>
      </c>
      <c r="D429" s="9">
        <v>1</v>
      </c>
      <c r="E429" s="10">
        <v>42196</v>
      </c>
      <c r="F429" s="11">
        <v>0.76401620370370371</v>
      </c>
      <c r="G429" s="9">
        <v>20.25</v>
      </c>
      <c r="H429" s="9">
        <v>20.25</v>
      </c>
      <c r="I429" s="9" t="s">
        <v>20</v>
      </c>
      <c r="J429" s="9" t="s">
        <v>26</v>
      </c>
      <c r="K429" s="9" t="s">
        <v>313</v>
      </c>
      <c r="L429" s="12" t="s">
        <v>314</v>
      </c>
    </row>
    <row r="430" spans="1:12" ht="43.8" thickBot="1" x14ac:dyDescent="0.35">
      <c r="A430" s="3">
        <v>429</v>
      </c>
      <c r="B430" s="4" t="s">
        <v>58</v>
      </c>
      <c r="C430" s="4" t="s">
        <v>706</v>
      </c>
      <c r="D430" s="4">
        <v>1</v>
      </c>
      <c r="E430" s="5">
        <v>42196</v>
      </c>
      <c r="F430" s="6">
        <v>0.86462962962962964</v>
      </c>
      <c r="G430" s="4">
        <v>17.95</v>
      </c>
      <c r="H430" s="4">
        <v>17.95</v>
      </c>
      <c r="I430" s="4" t="s">
        <v>20</v>
      </c>
      <c r="J430" s="4" t="s">
        <v>26</v>
      </c>
      <c r="K430" s="4" t="s">
        <v>60</v>
      </c>
      <c r="L430" s="7" t="s">
        <v>61</v>
      </c>
    </row>
    <row r="431" spans="1:12" ht="29.4" thickBot="1" x14ac:dyDescent="0.35">
      <c r="A431" s="8">
        <v>430</v>
      </c>
      <c r="B431" s="9" t="s">
        <v>228</v>
      </c>
      <c r="C431" s="9" t="s">
        <v>707</v>
      </c>
      <c r="D431" s="9">
        <v>1</v>
      </c>
      <c r="E431" s="10">
        <v>42227</v>
      </c>
      <c r="F431" s="11">
        <v>0.65164351851851854</v>
      </c>
      <c r="G431" s="9">
        <v>16.5</v>
      </c>
      <c r="H431" s="9">
        <v>16.5</v>
      </c>
      <c r="I431" s="9" t="s">
        <v>14</v>
      </c>
      <c r="J431" s="9" t="s">
        <v>31</v>
      </c>
      <c r="K431" s="9" t="s">
        <v>50</v>
      </c>
      <c r="L431" s="12" t="s">
        <v>51</v>
      </c>
    </row>
    <row r="432" spans="1:12" ht="43.8" thickBot="1" x14ac:dyDescent="0.35">
      <c r="A432" s="3">
        <v>431</v>
      </c>
      <c r="B432" s="4" t="s">
        <v>105</v>
      </c>
      <c r="C432" s="4" t="s">
        <v>454</v>
      </c>
      <c r="D432" s="4">
        <v>1</v>
      </c>
      <c r="E432" s="5">
        <v>42227</v>
      </c>
      <c r="F432" s="6">
        <v>0.74883101851851852</v>
      </c>
      <c r="G432" s="4">
        <v>20.25</v>
      </c>
      <c r="H432" s="4">
        <v>20.25</v>
      </c>
      <c r="I432" s="4" t="s">
        <v>20</v>
      </c>
      <c r="J432" s="4" t="s">
        <v>26</v>
      </c>
      <c r="K432" s="4" t="s">
        <v>108</v>
      </c>
      <c r="L432" s="7" t="s">
        <v>109</v>
      </c>
    </row>
    <row r="433" spans="1:12" ht="29.4" thickBot="1" x14ac:dyDescent="0.35">
      <c r="A433" s="8">
        <v>432</v>
      </c>
      <c r="B433" s="9" t="s">
        <v>77</v>
      </c>
      <c r="C433" s="9" t="s">
        <v>708</v>
      </c>
      <c r="D433" s="9">
        <v>1</v>
      </c>
      <c r="E433" s="10">
        <v>42227</v>
      </c>
      <c r="F433" s="11">
        <v>0.78918981481481476</v>
      </c>
      <c r="G433" s="9">
        <v>12.25</v>
      </c>
      <c r="H433" s="9">
        <v>12.25</v>
      </c>
      <c r="I433" s="9" t="s">
        <v>45</v>
      </c>
      <c r="J433" s="9" t="s">
        <v>31</v>
      </c>
      <c r="K433" s="9" t="s">
        <v>80</v>
      </c>
      <c r="L433" s="12" t="s">
        <v>81</v>
      </c>
    </row>
    <row r="434" spans="1:12" ht="29.4" thickBot="1" x14ac:dyDescent="0.35">
      <c r="A434" s="3">
        <v>433</v>
      </c>
      <c r="B434" s="4" t="s">
        <v>204</v>
      </c>
      <c r="C434" s="4" t="s">
        <v>709</v>
      </c>
      <c r="D434" s="4">
        <v>1</v>
      </c>
      <c r="E434" s="5">
        <v>42258</v>
      </c>
      <c r="F434" s="6">
        <v>0.75008101851851849</v>
      </c>
      <c r="G434" s="4">
        <v>20.5</v>
      </c>
      <c r="H434" s="4">
        <v>20.5</v>
      </c>
      <c r="I434" s="4" t="s">
        <v>20</v>
      </c>
      <c r="J434" s="4" t="s">
        <v>15</v>
      </c>
      <c r="K434" s="4" t="s">
        <v>206</v>
      </c>
      <c r="L434" s="7" t="s">
        <v>207</v>
      </c>
    </row>
    <row r="435" spans="1:12" ht="29.4" thickBot="1" x14ac:dyDescent="0.35">
      <c r="A435" s="8">
        <v>434</v>
      </c>
      <c r="B435" s="9" t="s">
        <v>131</v>
      </c>
      <c r="C435" s="9" t="s">
        <v>710</v>
      </c>
      <c r="D435" s="9">
        <v>1</v>
      </c>
      <c r="E435" s="10">
        <v>42288</v>
      </c>
      <c r="F435" s="11">
        <v>0.63598379629629631</v>
      </c>
      <c r="G435" s="9">
        <v>12.5</v>
      </c>
      <c r="H435" s="9">
        <v>12.5</v>
      </c>
      <c r="I435" s="9" t="s">
        <v>45</v>
      </c>
      <c r="J435" s="9" t="s">
        <v>31</v>
      </c>
      <c r="K435" s="9" t="s">
        <v>71</v>
      </c>
      <c r="L435" s="12" t="s">
        <v>72</v>
      </c>
    </row>
    <row r="436" spans="1:12" ht="43.8" thickBot="1" x14ac:dyDescent="0.35">
      <c r="A436" s="3">
        <v>435</v>
      </c>
      <c r="B436" s="4" t="s">
        <v>711</v>
      </c>
      <c r="C436" s="4" t="s">
        <v>519</v>
      </c>
      <c r="D436" s="4">
        <v>1</v>
      </c>
      <c r="E436" s="5">
        <v>42349</v>
      </c>
      <c r="F436" s="6">
        <v>0.68638888888888894</v>
      </c>
      <c r="G436" s="4">
        <v>16.5</v>
      </c>
      <c r="H436" s="4">
        <v>16.5</v>
      </c>
      <c r="I436" s="4" t="s">
        <v>14</v>
      </c>
      <c r="J436" s="4" t="s">
        <v>31</v>
      </c>
      <c r="K436" s="4" t="s">
        <v>388</v>
      </c>
      <c r="L436" s="7" t="s">
        <v>389</v>
      </c>
    </row>
    <row r="437" spans="1:12" ht="43.8" thickBot="1" x14ac:dyDescent="0.35">
      <c r="A437" s="8">
        <v>436</v>
      </c>
      <c r="B437" s="9" t="s">
        <v>275</v>
      </c>
      <c r="C437" s="9" t="s">
        <v>712</v>
      </c>
      <c r="D437" s="9">
        <v>1</v>
      </c>
      <c r="E437" s="9" t="s">
        <v>713</v>
      </c>
      <c r="F437" s="11">
        <v>0.78715277777777781</v>
      </c>
      <c r="G437" s="9">
        <v>20.25</v>
      </c>
      <c r="H437" s="9">
        <v>20.25</v>
      </c>
      <c r="I437" s="9" t="s">
        <v>20</v>
      </c>
      <c r="J437" s="9" t="s">
        <v>26</v>
      </c>
      <c r="K437" s="9" t="s">
        <v>56</v>
      </c>
      <c r="L437" s="12" t="s">
        <v>57</v>
      </c>
    </row>
    <row r="438" spans="1:12" ht="29.4" thickBot="1" x14ac:dyDescent="0.35">
      <c r="A438" s="3">
        <v>437</v>
      </c>
      <c r="B438" s="4" t="s">
        <v>295</v>
      </c>
      <c r="C438" s="4" t="s">
        <v>714</v>
      </c>
      <c r="D438" s="4">
        <v>1</v>
      </c>
      <c r="E438" s="4" t="s">
        <v>715</v>
      </c>
      <c r="F438" s="6">
        <v>0.61541666666666661</v>
      </c>
      <c r="G438" s="4">
        <v>16</v>
      </c>
      <c r="H438" s="4">
        <v>16</v>
      </c>
      <c r="I438" s="4" t="s">
        <v>14</v>
      </c>
      <c r="J438" s="4" t="s">
        <v>15</v>
      </c>
      <c r="K438" s="4" t="s">
        <v>206</v>
      </c>
      <c r="L438" s="7" t="s">
        <v>207</v>
      </c>
    </row>
    <row r="439" spans="1:12" ht="15" thickBot="1" x14ac:dyDescent="0.35">
      <c r="A439" s="8">
        <v>438</v>
      </c>
      <c r="B439" s="9" t="s">
        <v>102</v>
      </c>
      <c r="C439" s="9" t="s">
        <v>716</v>
      </c>
      <c r="D439" s="9">
        <v>1</v>
      </c>
      <c r="E439" s="9" t="s">
        <v>717</v>
      </c>
      <c r="F439" s="11">
        <v>0.50931712962962961</v>
      </c>
      <c r="G439" s="9">
        <v>9.75</v>
      </c>
      <c r="H439" s="9">
        <v>9.75</v>
      </c>
      <c r="I439" s="9" t="s">
        <v>45</v>
      </c>
      <c r="J439" s="9" t="s">
        <v>15</v>
      </c>
      <c r="K439" s="9" t="s">
        <v>41</v>
      </c>
      <c r="L439" s="12" t="s">
        <v>42</v>
      </c>
    </row>
    <row r="440" spans="1:12" ht="29.4" thickBot="1" x14ac:dyDescent="0.35">
      <c r="A440" s="3">
        <v>439</v>
      </c>
      <c r="B440" s="4" t="s">
        <v>201</v>
      </c>
      <c r="C440" s="4" t="s">
        <v>718</v>
      </c>
      <c r="D440" s="4">
        <v>1</v>
      </c>
      <c r="E440" s="4" t="s">
        <v>719</v>
      </c>
      <c r="F440" s="6">
        <v>0.74782407407407403</v>
      </c>
      <c r="G440" s="4">
        <v>12</v>
      </c>
      <c r="H440" s="4">
        <v>12</v>
      </c>
      <c r="I440" s="4" t="s">
        <v>45</v>
      </c>
      <c r="J440" s="4" t="s">
        <v>15</v>
      </c>
      <c r="K440" s="4" t="s">
        <v>16</v>
      </c>
      <c r="L440" s="7" t="s">
        <v>17</v>
      </c>
    </row>
    <row r="441" spans="1:12" ht="43.8" thickBot="1" x14ac:dyDescent="0.35">
      <c r="A441" s="8">
        <v>440</v>
      </c>
      <c r="B441" s="9" t="s">
        <v>275</v>
      </c>
      <c r="C441" s="9" t="s">
        <v>720</v>
      </c>
      <c r="D441" s="9">
        <v>1</v>
      </c>
      <c r="E441" s="9" t="s">
        <v>721</v>
      </c>
      <c r="F441" s="11">
        <v>0.84234953703703708</v>
      </c>
      <c r="G441" s="9">
        <v>20.25</v>
      </c>
      <c r="H441" s="9">
        <v>20.25</v>
      </c>
      <c r="I441" s="9" t="s">
        <v>20</v>
      </c>
      <c r="J441" s="9" t="s">
        <v>26</v>
      </c>
      <c r="K441" s="9" t="s">
        <v>56</v>
      </c>
      <c r="L441" s="12" t="s">
        <v>57</v>
      </c>
    </row>
    <row r="442" spans="1:12" ht="43.8" thickBot="1" x14ac:dyDescent="0.35">
      <c r="A442" s="3">
        <v>441</v>
      </c>
      <c r="B442" s="4" t="s">
        <v>722</v>
      </c>
      <c r="C442" s="4" t="s">
        <v>723</v>
      </c>
      <c r="D442" s="4">
        <v>1</v>
      </c>
      <c r="E442" s="4" t="s">
        <v>724</v>
      </c>
      <c r="F442" s="6">
        <v>0.74812500000000004</v>
      </c>
      <c r="G442" s="4">
        <v>16.75</v>
      </c>
      <c r="H442" s="4">
        <v>16.75</v>
      </c>
      <c r="I442" s="4" t="s">
        <v>14</v>
      </c>
      <c r="J442" s="4" t="s">
        <v>21</v>
      </c>
      <c r="K442" s="4" t="s">
        <v>100</v>
      </c>
      <c r="L442" s="7" t="s">
        <v>101</v>
      </c>
    </row>
    <row r="443" spans="1:12" ht="29.4" thickBot="1" x14ac:dyDescent="0.35">
      <c r="A443" s="8">
        <v>442</v>
      </c>
      <c r="B443" s="9" t="s">
        <v>725</v>
      </c>
      <c r="C443" s="9" t="s">
        <v>726</v>
      </c>
      <c r="D443" s="9">
        <v>1</v>
      </c>
      <c r="E443" s="9" t="s">
        <v>727</v>
      </c>
      <c r="F443" s="11">
        <v>0.48958333333333331</v>
      </c>
      <c r="G443" s="9">
        <v>23.65</v>
      </c>
      <c r="H443" s="9">
        <v>23.65</v>
      </c>
      <c r="I443" s="9" t="s">
        <v>45</v>
      </c>
      <c r="J443" s="9" t="s">
        <v>31</v>
      </c>
      <c r="K443" s="9" t="s">
        <v>728</v>
      </c>
      <c r="L443" s="12" t="s">
        <v>729</v>
      </c>
    </row>
    <row r="444" spans="1:12" ht="29.4" thickBot="1" x14ac:dyDescent="0.35">
      <c r="A444" s="3">
        <v>443</v>
      </c>
      <c r="B444" s="4" t="s">
        <v>170</v>
      </c>
      <c r="C444" s="4" t="s">
        <v>730</v>
      </c>
      <c r="D444" s="4">
        <v>1</v>
      </c>
      <c r="E444" s="4" t="s">
        <v>727</v>
      </c>
      <c r="F444" s="6">
        <v>0.7648611111111111</v>
      </c>
      <c r="G444" s="4">
        <v>20.75</v>
      </c>
      <c r="H444" s="4">
        <v>20.75</v>
      </c>
      <c r="I444" s="4" t="s">
        <v>20</v>
      </c>
      <c r="J444" s="4" t="s">
        <v>31</v>
      </c>
      <c r="K444" s="4" t="s">
        <v>95</v>
      </c>
      <c r="L444" s="7" t="s">
        <v>96</v>
      </c>
    </row>
    <row r="445" spans="1:12" ht="29.4" thickBot="1" x14ac:dyDescent="0.35">
      <c r="A445" s="8">
        <v>444</v>
      </c>
      <c r="B445" s="9" t="s">
        <v>251</v>
      </c>
      <c r="C445" s="9" t="s">
        <v>731</v>
      </c>
      <c r="D445" s="9">
        <v>1</v>
      </c>
      <c r="E445" s="9" t="s">
        <v>732</v>
      </c>
      <c r="F445" s="11">
        <v>0.7634143518518518</v>
      </c>
      <c r="G445" s="9">
        <v>16.75</v>
      </c>
      <c r="H445" s="9">
        <v>16.75</v>
      </c>
      <c r="I445" s="9" t="s">
        <v>14</v>
      </c>
      <c r="J445" s="9" t="s">
        <v>21</v>
      </c>
      <c r="K445" s="9" t="s">
        <v>156</v>
      </c>
      <c r="L445" s="12" t="s">
        <v>157</v>
      </c>
    </row>
    <row r="446" spans="1:12" ht="29.4" thickBot="1" x14ac:dyDescent="0.35">
      <c r="A446" s="3">
        <v>445</v>
      </c>
      <c r="B446" s="4" t="s">
        <v>310</v>
      </c>
      <c r="C446" s="4" t="s">
        <v>262</v>
      </c>
      <c r="D446" s="4">
        <v>1</v>
      </c>
      <c r="E446" s="4" t="s">
        <v>733</v>
      </c>
      <c r="F446" s="6">
        <v>0.51465277777777774</v>
      </c>
      <c r="G446" s="4">
        <v>12</v>
      </c>
      <c r="H446" s="4">
        <v>12</v>
      </c>
      <c r="I446" s="4" t="s">
        <v>45</v>
      </c>
      <c r="J446" s="4" t="s">
        <v>26</v>
      </c>
      <c r="K446" s="4" t="s">
        <v>313</v>
      </c>
      <c r="L446" s="7" t="s">
        <v>314</v>
      </c>
    </row>
    <row r="447" spans="1:12" ht="15" thickBot="1" x14ac:dyDescent="0.35">
      <c r="A447" s="8">
        <v>446</v>
      </c>
      <c r="B447" s="9" t="s">
        <v>117</v>
      </c>
      <c r="C447" s="9" t="s">
        <v>734</v>
      </c>
      <c r="D447" s="9">
        <v>1</v>
      </c>
      <c r="E447" s="9" t="s">
        <v>735</v>
      </c>
      <c r="F447" s="11">
        <v>0.49149305555555556</v>
      </c>
      <c r="G447" s="9">
        <v>16.5</v>
      </c>
      <c r="H447" s="9">
        <v>16.5</v>
      </c>
      <c r="I447" s="9" t="s">
        <v>20</v>
      </c>
      <c r="J447" s="9" t="s">
        <v>15</v>
      </c>
      <c r="K447" s="9" t="s">
        <v>120</v>
      </c>
      <c r="L447" s="12" t="s">
        <v>121</v>
      </c>
    </row>
    <row r="448" spans="1:12" ht="29.4" thickBot="1" x14ac:dyDescent="0.35">
      <c r="A448" s="3">
        <v>447</v>
      </c>
      <c r="B448" s="4" t="s">
        <v>62</v>
      </c>
      <c r="C448" s="4" t="s">
        <v>736</v>
      </c>
      <c r="D448" s="4">
        <v>1</v>
      </c>
      <c r="E448" s="4" t="s">
        <v>735</v>
      </c>
      <c r="F448" s="6">
        <v>0.80270833333333336</v>
      </c>
      <c r="G448" s="4">
        <v>16</v>
      </c>
      <c r="H448" s="4">
        <v>16</v>
      </c>
      <c r="I448" s="4" t="s">
        <v>14</v>
      </c>
      <c r="J448" s="4" t="s">
        <v>15</v>
      </c>
      <c r="K448" s="4" t="s">
        <v>37</v>
      </c>
      <c r="L448" s="7" t="s">
        <v>38</v>
      </c>
    </row>
    <row r="449" spans="1:12" ht="43.8" thickBot="1" x14ac:dyDescent="0.35">
      <c r="A449" s="8">
        <v>448</v>
      </c>
      <c r="B449" s="9" t="s">
        <v>125</v>
      </c>
      <c r="C449" s="9" t="s">
        <v>737</v>
      </c>
      <c r="D449" s="9">
        <v>2</v>
      </c>
      <c r="E449" s="9" t="s">
        <v>735</v>
      </c>
      <c r="F449" s="11">
        <v>0.80702546296296296</v>
      </c>
      <c r="G449" s="9">
        <v>20.75</v>
      </c>
      <c r="H449" s="9">
        <v>41.5</v>
      </c>
      <c r="I449" s="9" t="s">
        <v>20</v>
      </c>
      <c r="J449" s="9" t="s">
        <v>21</v>
      </c>
      <c r="K449" s="9" t="s">
        <v>87</v>
      </c>
      <c r="L449" s="12" t="s">
        <v>88</v>
      </c>
    </row>
    <row r="450" spans="1:12" ht="43.8" thickBot="1" x14ac:dyDescent="0.35">
      <c r="A450" s="3">
        <v>449</v>
      </c>
      <c r="B450" s="4" t="s">
        <v>24</v>
      </c>
      <c r="C450" s="4" t="s">
        <v>738</v>
      </c>
      <c r="D450" s="4">
        <v>1</v>
      </c>
      <c r="E450" s="4" t="s">
        <v>739</v>
      </c>
      <c r="F450" s="6">
        <v>0.79753472222222221</v>
      </c>
      <c r="G450" s="4">
        <v>18.5</v>
      </c>
      <c r="H450" s="4">
        <v>18.5</v>
      </c>
      <c r="I450" s="4" t="s">
        <v>20</v>
      </c>
      <c r="J450" s="4" t="s">
        <v>26</v>
      </c>
      <c r="K450" s="4" t="s">
        <v>27</v>
      </c>
      <c r="L450" s="7" t="s">
        <v>28</v>
      </c>
    </row>
    <row r="451" spans="1:12" ht="15" thickBot="1" x14ac:dyDescent="0.35">
      <c r="A451" s="8">
        <v>450</v>
      </c>
      <c r="B451" s="9" t="s">
        <v>39</v>
      </c>
      <c r="C451" s="9" t="s">
        <v>740</v>
      </c>
      <c r="D451" s="9">
        <v>1</v>
      </c>
      <c r="E451" s="9" t="s">
        <v>739</v>
      </c>
      <c r="F451" s="11">
        <v>0.89465277777777774</v>
      </c>
      <c r="G451" s="9">
        <v>15.25</v>
      </c>
      <c r="H451" s="9">
        <v>15.25</v>
      </c>
      <c r="I451" s="9" t="s">
        <v>20</v>
      </c>
      <c r="J451" s="9" t="s">
        <v>15</v>
      </c>
      <c r="K451" s="9" t="s">
        <v>41</v>
      </c>
      <c r="L451" s="12" t="s">
        <v>42</v>
      </c>
    </row>
    <row r="452" spans="1:12" ht="29.4" thickBot="1" x14ac:dyDescent="0.35">
      <c r="A452" s="3">
        <v>451</v>
      </c>
      <c r="B452" s="4" t="s">
        <v>187</v>
      </c>
      <c r="C452" s="4" t="s">
        <v>741</v>
      </c>
      <c r="D452" s="4">
        <v>1</v>
      </c>
      <c r="E452" s="4" t="s">
        <v>739</v>
      </c>
      <c r="F452" s="6">
        <v>0.91780092592592588</v>
      </c>
      <c r="G452" s="4">
        <v>12.5</v>
      </c>
      <c r="H452" s="4">
        <v>12.5</v>
      </c>
      <c r="I452" s="4" t="s">
        <v>45</v>
      </c>
      <c r="J452" s="4" t="s">
        <v>26</v>
      </c>
      <c r="K452" s="4" t="s">
        <v>189</v>
      </c>
      <c r="L452" s="7" t="s">
        <v>190</v>
      </c>
    </row>
    <row r="453" spans="1:12" ht="15" thickBot="1" x14ac:dyDescent="0.35">
      <c r="A453" s="8">
        <v>452</v>
      </c>
      <c r="B453" s="9" t="s">
        <v>142</v>
      </c>
      <c r="C453" s="9" t="s">
        <v>742</v>
      </c>
      <c r="D453" s="9">
        <v>1</v>
      </c>
      <c r="E453" s="9" t="s">
        <v>743</v>
      </c>
      <c r="F453" s="11">
        <v>0.80800925925925926</v>
      </c>
      <c r="G453" s="9">
        <v>10.5</v>
      </c>
      <c r="H453" s="9">
        <v>10.5</v>
      </c>
      <c r="I453" s="9" t="s">
        <v>45</v>
      </c>
      <c r="J453" s="9" t="s">
        <v>15</v>
      </c>
      <c r="K453" s="9" t="s">
        <v>120</v>
      </c>
      <c r="L453" s="12" t="s">
        <v>121</v>
      </c>
    </row>
    <row r="454" spans="1:12" ht="29.4" thickBot="1" x14ac:dyDescent="0.35">
      <c r="A454" s="3">
        <v>453</v>
      </c>
      <c r="B454" s="4" t="s">
        <v>297</v>
      </c>
      <c r="C454" s="4" t="s">
        <v>744</v>
      </c>
      <c r="D454" s="4">
        <v>1</v>
      </c>
      <c r="E454" s="4" t="s">
        <v>745</v>
      </c>
      <c r="F454" s="6">
        <v>0.82307870370370373</v>
      </c>
      <c r="G454" s="4">
        <v>16.75</v>
      </c>
      <c r="H454" s="4">
        <v>16.75</v>
      </c>
      <c r="I454" s="4" t="s">
        <v>14</v>
      </c>
      <c r="J454" s="4" t="s">
        <v>21</v>
      </c>
      <c r="K454" s="4" t="s">
        <v>22</v>
      </c>
      <c r="L454" s="7" t="s">
        <v>23</v>
      </c>
    </row>
    <row r="455" spans="1:12" ht="29.4" thickBot="1" x14ac:dyDescent="0.35">
      <c r="A455" s="8">
        <v>454</v>
      </c>
      <c r="B455" s="9" t="s">
        <v>586</v>
      </c>
      <c r="C455" s="9" t="s">
        <v>746</v>
      </c>
      <c r="D455" s="9">
        <v>1</v>
      </c>
      <c r="E455" s="10">
        <v>42016</v>
      </c>
      <c r="F455" s="11">
        <v>0.7099537037037037</v>
      </c>
      <c r="G455" s="9">
        <v>16</v>
      </c>
      <c r="H455" s="9">
        <v>16</v>
      </c>
      <c r="I455" s="9" t="s">
        <v>14</v>
      </c>
      <c r="J455" s="9" t="s">
        <v>26</v>
      </c>
      <c r="K455" s="9" t="s">
        <v>313</v>
      </c>
      <c r="L455" s="12" t="s">
        <v>314</v>
      </c>
    </row>
    <row r="456" spans="1:12" ht="29.4" thickBot="1" x14ac:dyDescent="0.35">
      <c r="A456" s="3">
        <v>455</v>
      </c>
      <c r="B456" s="4" t="s">
        <v>73</v>
      </c>
      <c r="C456" s="4" t="s">
        <v>747</v>
      </c>
      <c r="D456" s="4">
        <v>1</v>
      </c>
      <c r="E456" s="5">
        <v>42016</v>
      </c>
      <c r="F456" s="6">
        <v>0.75253472222222217</v>
      </c>
      <c r="G456" s="4">
        <v>16.75</v>
      </c>
      <c r="H456" s="4">
        <v>16.75</v>
      </c>
      <c r="I456" s="4" t="s">
        <v>14</v>
      </c>
      <c r="J456" s="4" t="s">
        <v>26</v>
      </c>
      <c r="K456" s="4" t="s">
        <v>75</v>
      </c>
      <c r="L456" s="7" t="s">
        <v>76</v>
      </c>
    </row>
    <row r="457" spans="1:12" ht="43.8" thickBot="1" x14ac:dyDescent="0.35">
      <c r="A457" s="8">
        <v>456</v>
      </c>
      <c r="B457" s="9" t="s">
        <v>329</v>
      </c>
      <c r="C457" s="9" t="s">
        <v>748</v>
      </c>
      <c r="D457" s="9">
        <v>1</v>
      </c>
      <c r="E457" s="10">
        <v>42047</v>
      </c>
      <c r="F457" s="11">
        <v>0.57491898148148146</v>
      </c>
      <c r="G457" s="9">
        <v>12</v>
      </c>
      <c r="H457" s="9">
        <v>12</v>
      </c>
      <c r="I457" s="9" t="s">
        <v>45</v>
      </c>
      <c r="J457" s="9" t="s">
        <v>26</v>
      </c>
      <c r="K457" s="9" t="s">
        <v>108</v>
      </c>
      <c r="L457" s="12" t="s">
        <v>109</v>
      </c>
    </row>
    <row r="458" spans="1:12" ht="29.4" thickBot="1" x14ac:dyDescent="0.35">
      <c r="A458" s="3">
        <v>457</v>
      </c>
      <c r="B458" s="4" t="s">
        <v>247</v>
      </c>
      <c r="C458" s="4" t="s">
        <v>749</v>
      </c>
      <c r="D458" s="4">
        <v>1</v>
      </c>
      <c r="E458" s="5">
        <v>42075</v>
      </c>
      <c r="F458" s="6">
        <v>0.74268518518518523</v>
      </c>
      <c r="G458" s="4">
        <v>12</v>
      </c>
      <c r="H458" s="4">
        <v>12</v>
      </c>
      <c r="I458" s="4" t="s">
        <v>45</v>
      </c>
      <c r="J458" s="4" t="s">
        <v>26</v>
      </c>
      <c r="K458" s="4" t="s">
        <v>138</v>
      </c>
      <c r="L458" s="7" t="s">
        <v>139</v>
      </c>
    </row>
    <row r="459" spans="1:12" ht="43.8" thickBot="1" x14ac:dyDescent="0.35">
      <c r="A459" s="8">
        <v>458</v>
      </c>
      <c r="B459" s="9" t="s">
        <v>24</v>
      </c>
      <c r="C459" s="9" t="s">
        <v>183</v>
      </c>
      <c r="D459" s="9">
        <v>1</v>
      </c>
      <c r="E459" s="10">
        <v>42106</v>
      </c>
      <c r="F459" s="11">
        <v>0.59606481481481477</v>
      </c>
      <c r="G459" s="9">
        <v>18.5</v>
      </c>
      <c r="H459" s="9">
        <v>18.5</v>
      </c>
      <c r="I459" s="9" t="s">
        <v>20</v>
      </c>
      <c r="J459" s="9" t="s">
        <v>26</v>
      </c>
      <c r="K459" s="9" t="s">
        <v>27</v>
      </c>
      <c r="L459" s="12" t="s">
        <v>28</v>
      </c>
    </row>
    <row r="460" spans="1:12" ht="29.4" thickBot="1" x14ac:dyDescent="0.35">
      <c r="A460" s="3">
        <v>459</v>
      </c>
      <c r="B460" s="4" t="s">
        <v>195</v>
      </c>
      <c r="C460" s="4" t="s">
        <v>750</v>
      </c>
      <c r="D460" s="4">
        <v>1</v>
      </c>
      <c r="E460" s="5">
        <v>42106</v>
      </c>
      <c r="F460" s="6">
        <v>0.74815972222222227</v>
      </c>
      <c r="G460" s="4">
        <v>12</v>
      </c>
      <c r="H460" s="4">
        <v>12</v>
      </c>
      <c r="I460" s="4" t="s">
        <v>45</v>
      </c>
      <c r="J460" s="4" t="s">
        <v>15</v>
      </c>
      <c r="K460" s="4" t="s">
        <v>198</v>
      </c>
      <c r="L460" s="7" t="s">
        <v>199</v>
      </c>
    </row>
    <row r="461" spans="1:12" ht="29.4" thickBot="1" x14ac:dyDescent="0.35">
      <c r="A461" s="8">
        <v>460</v>
      </c>
      <c r="B461" s="9" t="s">
        <v>604</v>
      </c>
      <c r="C461" s="9" t="s">
        <v>751</v>
      </c>
      <c r="D461" s="9">
        <v>1</v>
      </c>
      <c r="E461" s="10">
        <v>42106</v>
      </c>
      <c r="F461" s="11">
        <v>0.75042824074074077</v>
      </c>
      <c r="G461" s="9">
        <v>12.75</v>
      </c>
      <c r="H461" s="9">
        <v>12.75</v>
      </c>
      <c r="I461" s="9" t="s">
        <v>45</v>
      </c>
      <c r="J461" s="9" t="s">
        <v>21</v>
      </c>
      <c r="K461" s="9" t="s">
        <v>156</v>
      </c>
      <c r="L461" s="12" t="s">
        <v>157</v>
      </c>
    </row>
    <row r="462" spans="1:12" ht="29.4" thickBot="1" x14ac:dyDescent="0.35">
      <c r="A462" s="3">
        <v>461</v>
      </c>
      <c r="B462" s="4" t="s">
        <v>361</v>
      </c>
      <c r="C462" s="4" t="s">
        <v>752</v>
      </c>
      <c r="D462" s="4">
        <v>1</v>
      </c>
      <c r="E462" s="5">
        <v>42197</v>
      </c>
      <c r="F462" s="6">
        <v>0.49642361111111111</v>
      </c>
      <c r="G462" s="4">
        <v>20.25</v>
      </c>
      <c r="H462" s="4">
        <v>20.25</v>
      </c>
      <c r="I462" s="4" t="s">
        <v>20</v>
      </c>
      <c r="J462" s="4" t="s">
        <v>26</v>
      </c>
      <c r="K462" s="4" t="s">
        <v>313</v>
      </c>
      <c r="L462" s="7" t="s">
        <v>314</v>
      </c>
    </row>
    <row r="463" spans="1:12" ht="29.4" thickBot="1" x14ac:dyDescent="0.35">
      <c r="A463" s="8">
        <v>462</v>
      </c>
      <c r="B463" s="9" t="s">
        <v>266</v>
      </c>
      <c r="C463" s="9" t="s">
        <v>753</v>
      </c>
      <c r="D463" s="9">
        <v>1</v>
      </c>
      <c r="E463" s="10">
        <v>42197</v>
      </c>
      <c r="F463" s="11">
        <v>0.53708333333333336</v>
      </c>
      <c r="G463" s="9">
        <v>20.25</v>
      </c>
      <c r="H463" s="9">
        <v>20.25</v>
      </c>
      <c r="I463" s="9" t="s">
        <v>20</v>
      </c>
      <c r="J463" s="9" t="s">
        <v>26</v>
      </c>
      <c r="K463" s="9" t="s">
        <v>138</v>
      </c>
      <c r="L463" s="12" t="s">
        <v>139</v>
      </c>
    </row>
    <row r="464" spans="1:12" ht="43.8" thickBot="1" x14ac:dyDescent="0.35">
      <c r="A464" s="3">
        <v>463</v>
      </c>
      <c r="B464" s="4" t="s">
        <v>84</v>
      </c>
      <c r="C464" s="4" t="s">
        <v>754</v>
      </c>
      <c r="D464" s="4">
        <v>1</v>
      </c>
      <c r="E464" s="5">
        <v>42228</v>
      </c>
      <c r="F464" s="6">
        <v>0.47944444444444445</v>
      </c>
      <c r="G464" s="4">
        <v>12.75</v>
      </c>
      <c r="H464" s="4">
        <v>12.75</v>
      </c>
      <c r="I464" s="4" t="s">
        <v>45</v>
      </c>
      <c r="J464" s="4" t="s">
        <v>21</v>
      </c>
      <c r="K464" s="4" t="s">
        <v>87</v>
      </c>
      <c r="L464" s="7" t="s">
        <v>88</v>
      </c>
    </row>
    <row r="465" spans="1:12" ht="29.4" thickBot="1" x14ac:dyDescent="0.35">
      <c r="A465" s="8">
        <v>464</v>
      </c>
      <c r="B465" s="9" t="s">
        <v>149</v>
      </c>
      <c r="C465" s="9" t="s">
        <v>292</v>
      </c>
      <c r="D465" s="9">
        <v>1</v>
      </c>
      <c r="E465" s="10">
        <v>42228</v>
      </c>
      <c r="F465" s="11">
        <v>0.77260416666666665</v>
      </c>
      <c r="G465" s="9">
        <v>16.75</v>
      </c>
      <c r="H465" s="9">
        <v>16.75</v>
      </c>
      <c r="I465" s="9" t="s">
        <v>14</v>
      </c>
      <c r="J465" s="9" t="s">
        <v>21</v>
      </c>
      <c r="K465" s="9" t="s">
        <v>115</v>
      </c>
      <c r="L465" s="12" t="s">
        <v>116</v>
      </c>
    </row>
    <row r="466" spans="1:12" ht="29.4" thickBot="1" x14ac:dyDescent="0.35">
      <c r="A466" s="3">
        <v>465</v>
      </c>
      <c r="B466" s="4" t="s">
        <v>204</v>
      </c>
      <c r="C466" s="4" t="s">
        <v>755</v>
      </c>
      <c r="D466" s="4">
        <v>1</v>
      </c>
      <c r="E466" s="5">
        <v>42259</v>
      </c>
      <c r="F466" s="6">
        <v>0.53754629629629624</v>
      </c>
      <c r="G466" s="4">
        <v>20.5</v>
      </c>
      <c r="H466" s="4">
        <v>20.5</v>
      </c>
      <c r="I466" s="4" t="s">
        <v>20</v>
      </c>
      <c r="J466" s="4" t="s">
        <v>15</v>
      </c>
      <c r="K466" s="4" t="s">
        <v>206</v>
      </c>
      <c r="L466" s="7" t="s">
        <v>207</v>
      </c>
    </row>
    <row r="467" spans="1:12" ht="29.4" thickBot="1" x14ac:dyDescent="0.35">
      <c r="A467" s="8">
        <v>466</v>
      </c>
      <c r="B467" s="9" t="s">
        <v>69</v>
      </c>
      <c r="C467" s="9" t="s">
        <v>756</v>
      </c>
      <c r="D467" s="9">
        <v>1</v>
      </c>
      <c r="E467" s="10">
        <v>42259</v>
      </c>
      <c r="F467" s="11">
        <v>0.62232638888888892</v>
      </c>
      <c r="G467" s="9">
        <v>20.75</v>
      </c>
      <c r="H467" s="9">
        <v>20.75</v>
      </c>
      <c r="I467" s="9" t="s">
        <v>20</v>
      </c>
      <c r="J467" s="9" t="s">
        <v>31</v>
      </c>
      <c r="K467" s="9" t="s">
        <v>71</v>
      </c>
      <c r="L467" s="12" t="s">
        <v>72</v>
      </c>
    </row>
    <row r="468" spans="1:12" ht="29.4" thickBot="1" x14ac:dyDescent="0.35">
      <c r="A468" s="3">
        <v>467</v>
      </c>
      <c r="B468" s="4" t="s">
        <v>201</v>
      </c>
      <c r="C468" s="4" t="s">
        <v>757</v>
      </c>
      <c r="D468" s="4">
        <v>1</v>
      </c>
      <c r="E468" s="5">
        <v>42289</v>
      </c>
      <c r="F468" s="6">
        <v>0.57810185185185181</v>
      </c>
      <c r="G468" s="4">
        <v>12</v>
      </c>
      <c r="H468" s="4">
        <v>12</v>
      </c>
      <c r="I468" s="4" t="s">
        <v>45</v>
      </c>
      <c r="J468" s="4" t="s">
        <v>15</v>
      </c>
      <c r="K468" s="4" t="s">
        <v>16</v>
      </c>
      <c r="L468" s="7" t="s">
        <v>17</v>
      </c>
    </row>
    <row r="469" spans="1:12" ht="29.4" thickBot="1" x14ac:dyDescent="0.35">
      <c r="A469" s="8">
        <v>468</v>
      </c>
      <c r="B469" s="9" t="s">
        <v>531</v>
      </c>
      <c r="C469" s="9" t="s">
        <v>758</v>
      </c>
      <c r="D469" s="9">
        <v>1</v>
      </c>
      <c r="E469" s="10">
        <v>42289</v>
      </c>
      <c r="F469" s="11">
        <v>0.70990740740740743</v>
      </c>
      <c r="G469" s="9">
        <v>12</v>
      </c>
      <c r="H469" s="9">
        <v>12</v>
      </c>
      <c r="I469" s="9" t="s">
        <v>45</v>
      </c>
      <c r="J469" s="9" t="s">
        <v>15</v>
      </c>
      <c r="K469" s="9" t="s">
        <v>206</v>
      </c>
      <c r="L469" s="12" t="s">
        <v>207</v>
      </c>
    </row>
    <row r="470" spans="1:12" ht="29.4" thickBot="1" x14ac:dyDescent="0.35">
      <c r="A470" s="3">
        <v>469</v>
      </c>
      <c r="B470" s="4" t="s">
        <v>149</v>
      </c>
      <c r="C470" s="4" t="s">
        <v>759</v>
      </c>
      <c r="D470" s="4">
        <v>1</v>
      </c>
      <c r="E470" s="5">
        <v>42289</v>
      </c>
      <c r="F470" s="6">
        <v>0.90827546296296291</v>
      </c>
      <c r="G470" s="4">
        <v>16.75</v>
      </c>
      <c r="H470" s="4">
        <v>16.75</v>
      </c>
      <c r="I470" s="4" t="s">
        <v>14</v>
      </c>
      <c r="J470" s="4" t="s">
        <v>21</v>
      </c>
      <c r="K470" s="4" t="s">
        <v>115</v>
      </c>
      <c r="L470" s="7" t="s">
        <v>116</v>
      </c>
    </row>
    <row r="471" spans="1:12" ht="15" thickBot="1" x14ac:dyDescent="0.35">
      <c r="A471" s="8">
        <v>470</v>
      </c>
      <c r="B471" s="9" t="s">
        <v>142</v>
      </c>
      <c r="C471" s="9" t="s">
        <v>760</v>
      </c>
      <c r="D471" s="9">
        <v>1</v>
      </c>
      <c r="E471" s="10">
        <v>42320</v>
      </c>
      <c r="F471" s="11">
        <v>0.70634259259259258</v>
      </c>
      <c r="G471" s="9">
        <v>10.5</v>
      </c>
      <c r="H471" s="9">
        <v>10.5</v>
      </c>
      <c r="I471" s="9" t="s">
        <v>45</v>
      </c>
      <c r="J471" s="9" t="s">
        <v>15</v>
      </c>
      <c r="K471" s="9" t="s">
        <v>120</v>
      </c>
      <c r="L471" s="12" t="s">
        <v>121</v>
      </c>
    </row>
    <row r="472" spans="1:12" ht="29.4" thickBot="1" x14ac:dyDescent="0.35">
      <c r="A472" s="3">
        <v>471</v>
      </c>
      <c r="B472" s="4" t="s">
        <v>161</v>
      </c>
      <c r="C472" s="4" t="s">
        <v>761</v>
      </c>
      <c r="D472" s="4">
        <v>1</v>
      </c>
      <c r="E472" s="5">
        <v>42320</v>
      </c>
      <c r="F472" s="6">
        <v>0.83082175925925927</v>
      </c>
      <c r="G472" s="4">
        <v>20.25</v>
      </c>
      <c r="H472" s="4">
        <v>20.25</v>
      </c>
      <c r="I472" s="4" t="s">
        <v>20</v>
      </c>
      <c r="J472" s="4" t="s">
        <v>31</v>
      </c>
      <c r="K472" s="4" t="s">
        <v>164</v>
      </c>
      <c r="L472" s="7" t="s">
        <v>165</v>
      </c>
    </row>
    <row r="473" spans="1:12" ht="29.4" thickBot="1" x14ac:dyDescent="0.35">
      <c r="A473" s="8">
        <v>472</v>
      </c>
      <c r="B473" s="9" t="s">
        <v>493</v>
      </c>
      <c r="C473" s="9" t="s">
        <v>356</v>
      </c>
      <c r="D473" s="9">
        <v>1</v>
      </c>
      <c r="E473" s="10">
        <v>42350</v>
      </c>
      <c r="F473" s="11">
        <v>0.75635416666666666</v>
      </c>
      <c r="G473" s="9">
        <v>11</v>
      </c>
      <c r="H473" s="9">
        <v>11</v>
      </c>
      <c r="I473" s="9" t="s">
        <v>45</v>
      </c>
      <c r="J473" s="9" t="s">
        <v>15</v>
      </c>
      <c r="K473" s="9" t="s">
        <v>440</v>
      </c>
      <c r="L473" s="12" t="s">
        <v>441</v>
      </c>
    </row>
    <row r="474" spans="1:12" ht="43.8" thickBot="1" x14ac:dyDescent="0.35">
      <c r="A474" s="3">
        <v>473</v>
      </c>
      <c r="B474" s="4" t="s">
        <v>105</v>
      </c>
      <c r="C474" s="4" t="s">
        <v>762</v>
      </c>
      <c r="D474" s="4">
        <v>1</v>
      </c>
      <c r="E474" s="4" t="s">
        <v>763</v>
      </c>
      <c r="F474" s="6">
        <v>0.59924768518518523</v>
      </c>
      <c r="G474" s="4">
        <v>20.25</v>
      </c>
      <c r="H474" s="4">
        <v>20.25</v>
      </c>
      <c r="I474" s="4" t="s">
        <v>20</v>
      </c>
      <c r="J474" s="4" t="s">
        <v>26</v>
      </c>
      <c r="K474" s="4" t="s">
        <v>108</v>
      </c>
      <c r="L474" s="7" t="s">
        <v>109</v>
      </c>
    </row>
    <row r="475" spans="1:12" ht="43.8" thickBot="1" x14ac:dyDescent="0.35">
      <c r="A475" s="8">
        <v>474</v>
      </c>
      <c r="B475" s="9" t="s">
        <v>576</v>
      </c>
      <c r="C475" s="9" t="s">
        <v>764</v>
      </c>
      <c r="D475" s="9">
        <v>1</v>
      </c>
      <c r="E475" s="9" t="s">
        <v>763</v>
      </c>
      <c r="F475" s="11">
        <v>0.59924768518518523</v>
      </c>
      <c r="G475" s="9">
        <v>12.5</v>
      </c>
      <c r="H475" s="9">
        <v>12.5</v>
      </c>
      <c r="I475" s="9" t="s">
        <v>45</v>
      </c>
      <c r="J475" s="9" t="s">
        <v>31</v>
      </c>
      <c r="K475" s="9" t="s">
        <v>388</v>
      </c>
      <c r="L475" s="12" t="s">
        <v>389</v>
      </c>
    </row>
    <row r="476" spans="1:12" ht="29.4" thickBot="1" x14ac:dyDescent="0.35">
      <c r="A476" s="3">
        <v>475</v>
      </c>
      <c r="B476" s="4" t="s">
        <v>73</v>
      </c>
      <c r="C476" s="4" t="s">
        <v>254</v>
      </c>
      <c r="D476" s="4">
        <v>1</v>
      </c>
      <c r="E476" s="4" t="s">
        <v>763</v>
      </c>
      <c r="F476" s="6">
        <v>0.81287037037037035</v>
      </c>
      <c r="G476" s="4">
        <v>16.75</v>
      </c>
      <c r="H476" s="4">
        <v>16.75</v>
      </c>
      <c r="I476" s="4" t="s">
        <v>14</v>
      </c>
      <c r="J476" s="4" t="s">
        <v>26</v>
      </c>
      <c r="K476" s="4" t="s">
        <v>75</v>
      </c>
      <c r="L476" s="7" t="s">
        <v>76</v>
      </c>
    </row>
    <row r="477" spans="1:12" ht="29.4" thickBot="1" x14ac:dyDescent="0.35">
      <c r="A477" s="8">
        <v>476</v>
      </c>
      <c r="B477" s="9" t="s">
        <v>93</v>
      </c>
      <c r="C477" s="9" t="s">
        <v>765</v>
      </c>
      <c r="D477" s="9">
        <v>1</v>
      </c>
      <c r="E477" s="9" t="s">
        <v>766</v>
      </c>
      <c r="F477" s="11">
        <v>0.6988657407407407</v>
      </c>
      <c r="G477" s="9">
        <v>16.5</v>
      </c>
      <c r="H477" s="9">
        <v>16.5</v>
      </c>
      <c r="I477" s="9" t="s">
        <v>14</v>
      </c>
      <c r="J477" s="9" t="s">
        <v>31</v>
      </c>
      <c r="K477" s="9" t="s">
        <v>95</v>
      </c>
      <c r="L477" s="12" t="s">
        <v>96</v>
      </c>
    </row>
    <row r="478" spans="1:12" ht="29.4" thickBot="1" x14ac:dyDescent="0.35">
      <c r="A478" s="3">
        <v>477</v>
      </c>
      <c r="B478" s="4" t="s">
        <v>73</v>
      </c>
      <c r="C478" s="4" t="s">
        <v>767</v>
      </c>
      <c r="D478" s="4">
        <v>1</v>
      </c>
      <c r="E478" s="4" t="s">
        <v>766</v>
      </c>
      <c r="F478" s="6">
        <v>0.71475694444444449</v>
      </c>
      <c r="G478" s="4">
        <v>16.75</v>
      </c>
      <c r="H478" s="4">
        <v>16.75</v>
      </c>
      <c r="I478" s="4" t="s">
        <v>14</v>
      </c>
      <c r="J478" s="4" t="s">
        <v>26</v>
      </c>
      <c r="K478" s="4" t="s">
        <v>75</v>
      </c>
      <c r="L478" s="7" t="s">
        <v>76</v>
      </c>
    </row>
    <row r="479" spans="1:12" ht="29.4" thickBot="1" x14ac:dyDescent="0.35">
      <c r="A479" s="8">
        <v>478</v>
      </c>
      <c r="B479" s="9" t="s">
        <v>725</v>
      </c>
      <c r="C479" s="9" t="s">
        <v>768</v>
      </c>
      <c r="D479" s="9">
        <v>1</v>
      </c>
      <c r="E479" s="9" t="s">
        <v>769</v>
      </c>
      <c r="F479" s="11">
        <v>0.77405092592592595</v>
      </c>
      <c r="G479" s="9">
        <v>23.65</v>
      </c>
      <c r="H479" s="9">
        <v>23.65</v>
      </c>
      <c r="I479" s="9" t="s">
        <v>45</v>
      </c>
      <c r="J479" s="9" t="s">
        <v>31</v>
      </c>
      <c r="K479" s="9" t="s">
        <v>728</v>
      </c>
      <c r="L479" s="12" t="s">
        <v>729</v>
      </c>
    </row>
    <row r="480" spans="1:12" ht="29.4" thickBot="1" x14ac:dyDescent="0.35">
      <c r="A480" s="3">
        <v>479</v>
      </c>
      <c r="B480" s="4" t="s">
        <v>271</v>
      </c>
      <c r="C480" s="4" t="s">
        <v>770</v>
      </c>
      <c r="D480" s="4">
        <v>1</v>
      </c>
      <c r="E480" s="4" t="s">
        <v>771</v>
      </c>
      <c r="F480" s="6">
        <v>0.6690625</v>
      </c>
      <c r="G480" s="4">
        <v>16</v>
      </c>
      <c r="H480" s="4">
        <v>16</v>
      </c>
      <c r="I480" s="4" t="s">
        <v>14</v>
      </c>
      <c r="J480" s="4" t="s">
        <v>26</v>
      </c>
      <c r="K480" s="4" t="s">
        <v>224</v>
      </c>
      <c r="L480" s="7" t="s">
        <v>225</v>
      </c>
    </row>
    <row r="481" spans="1:12" ht="29.4" thickBot="1" x14ac:dyDescent="0.35">
      <c r="A481" s="8">
        <v>480</v>
      </c>
      <c r="B481" s="9" t="s">
        <v>69</v>
      </c>
      <c r="C481" s="9" t="s">
        <v>772</v>
      </c>
      <c r="D481" s="9">
        <v>1</v>
      </c>
      <c r="E481" s="9" t="s">
        <v>771</v>
      </c>
      <c r="F481" s="11">
        <v>0.80075231481481479</v>
      </c>
      <c r="G481" s="9">
        <v>20.75</v>
      </c>
      <c r="H481" s="9">
        <v>20.75</v>
      </c>
      <c r="I481" s="9" t="s">
        <v>20</v>
      </c>
      <c r="J481" s="9" t="s">
        <v>31</v>
      </c>
      <c r="K481" s="9" t="s">
        <v>71</v>
      </c>
      <c r="L481" s="12" t="s">
        <v>72</v>
      </c>
    </row>
    <row r="482" spans="1:12" ht="29.4" thickBot="1" x14ac:dyDescent="0.35">
      <c r="A482" s="3">
        <v>481</v>
      </c>
      <c r="B482" s="4" t="s">
        <v>29</v>
      </c>
      <c r="C482" s="4" t="s">
        <v>773</v>
      </c>
      <c r="D482" s="4">
        <v>1</v>
      </c>
      <c r="E482" s="4" t="s">
        <v>774</v>
      </c>
      <c r="F482" s="6">
        <v>0.57424768518518521</v>
      </c>
      <c r="G482" s="4">
        <v>20.75</v>
      </c>
      <c r="H482" s="4">
        <v>20.75</v>
      </c>
      <c r="I482" s="4" t="s">
        <v>20</v>
      </c>
      <c r="J482" s="4" t="s">
        <v>31</v>
      </c>
      <c r="K482" s="4" t="s">
        <v>32</v>
      </c>
      <c r="L482" s="7" t="s">
        <v>33</v>
      </c>
    </row>
    <row r="483" spans="1:12" ht="29.4" thickBot="1" x14ac:dyDescent="0.35">
      <c r="A483" s="8">
        <v>482</v>
      </c>
      <c r="B483" s="9" t="s">
        <v>195</v>
      </c>
      <c r="C483" s="9" t="s">
        <v>775</v>
      </c>
      <c r="D483" s="9">
        <v>1</v>
      </c>
      <c r="E483" s="9" t="s">
        <v>776</v>
      </c>
      <c r="F483" s="11">
        <v>0.49459490740740741</v>
      </c>
      <c r="G483" s="9">
        <v>12</v>
      </c>
      <c r="H483" s="9">
        <v>12</v>
      </c>
      <c r="I483" s="9" t="s">
        <v>45</v>
      </c>
      <c r="J483" s="9" t="s">
        <v>15</v>
      </c>
      <c r="K483" s="9" t="s">
        <v>198</v>
      </c>
      <c r="L483" s="12" t="s">
        <v>199</v>
      </c>
    </row>
    <row r="484" spans="1:12" ht="29.4" thickBot="1" x14ac:dyDescent="0.35">
      <c r="A484" s="3">
        <v>483</v>
      </c>
      <c r="B484" s="4" t="s">
        <v>52</v>
      </c>
      <c r="C484" s="4" t="s">
        <v>777</v>
      </c>
      <c r="D484" s="4">
        <v>1</v>
      </c>
      <c r="E484" s="4" t="s">
        <v>776</v>
      </c>
      <c r="F484" s="6">
        <v>0.76144675925925931</v>
      </c>
      <c r="G484" s="4">
        <v>12.5</v>
      </c>
      <c r="H484" s="4">
        <v>12.5</v>
      </c>
      <c r="I484" s="4" t="s">
        <v>45</v>
      </c>
      <c r="J484" s="4" t="s">
        <v>31</v>
      </c>
      <c r="K484" s="4" t="s">
        <v>32</v>
      </c>
      <c r="L484" s="7" t="s">
        <v>33</v>
      </c>
    </row>
    <row r="485" spans="1:12" ht="29.4" thickBot="1" x14ac:dyDescent="0.35">
      <c r="A485" s="8">
        <v>484</v>
      </c>
      <c r="B485" s="9" t="s">
        <v>251</v>
      </c>
      <c r="C485" s="9" t="s">
        <v>778</v>
      </c>
      <c r="D485" s="9">
        <v>1</v>
      </c>
      <c r="E485" s="9" t="s">
        <v>776</v>
      </c>
      <c r="F485" s="11">
        <v>0.8892592592592593</v>
      </c>
      <c r="G485" s="9">
        <v>16.75</v>
      </c>
      <c r="H485" s="9">
        <v>16.75</v>
      </c>
      <c r="I485" s="9" t="s">
        <v>14</v>
      </c>
      <c r="J485" s="9" t="s">
        <v>21</v>
      </c>
      <c r="K485" s="9" t="s">
        <v>156</v>
      </c>
      <c r="L485" s="12" t="s">
        <v>157</v>
      </c>
    </row>
    <row r="486" spans="1:12" ht="29.4" thickBot="1" x14ac:dyDescent="0.35">
      <c r="A486" s="3">
        <v>485</v>
      </c>
      <c r="B486" s="4" t="s">
        <v>195</v>
      </c>
      <c r="C486" s="4" t="s">
        <v>779</v>
      </c>
      <c r="D486" s="4">
        <v>1</v>
      </c>
      <c r="E486" s="4" t="s">
        <v>780</v>
      </c>
      <c r="F486" s="6">
        <v>0.79348379629629628</v>
      </c>
      <c r="G486" s="4">
        <v>12</v>
      </c>
      <c r="H486" s="4">
        <v>12</v>
      </c>
      <c r="I486" s="4" t="s">
        <v>45</v>
      </c>
      <c r="J486" s="4" t="s">
        <v>15</v>
      </c>
      <c r="K486" s="4" t="s">
        <v>198</v>
      </c>
      <c r="L486" s="7" t="s">
        <v>199</v>
      </c>
    </row>
    <row r="487" spans="1:12" ht="43.8" thickBot="1" x14ac:dyDescent="0.35">
      <c r="A487" s="8">
        <v>486</v>
      </c>
      <c r="B487" s="9" t="s">
        <v>489</v>
      </c>
      <c r="C487" s="9" t="s">
        <v>781</v>
      </c>
      <c r="D487" s="9">
        <v>1</v>
      </c>
      <c r="E487" s="9" t="s">
        <v>780</v>
      </c>
      <c r="F487" s="11">
        <v>0.88604166666666662</v>
      </c>
      <c r="G487" s="9">
        <v>14.75</v>
      </c>
      <c r="H487" s="9">
        <v>14.75</v>
      </c>
      <c r="I487" s="9" t="s">
        <v>14</v>
      </c>
      <c r="J487" s="9" t="s">
        <v>26</v>
      </c>
      <c r="K487" s="9" t="s">
        <v>60</v>
      </c>
      <c r="L487" s="12" t="s">
        <v>61</v>
      </c>
    </row>
    <row r="488" spans="1:12" ht="43.8" thickBot="1" x14ac:dyDescent="0.35">
      <c r="A488" s="3">
        <v>487</v>
      </c>
      <c r="B488" s="4" t="s">
        <v>722</v>
      </c>
      <c r="C488" s="4" t="s">
        <v>782</v>
      </c>
      <c r="D488" s="4">
        <v>1</v>
      </c>
      <c r="E488" s="4" t="s">
        <v>783</v>
      </c>
      <c r="F488" s="6">
        <v>0.55677083333333333</v>
      </c>
      <c r="G488" s="4">
        <v>16.75</v>
      </c>
      <c r="H488" s="4">
        <v>16.75</v>
      </c>
      <c r="I488" s="4" t="s">
        <v>14</v>
      </c>
      <c r="J488" s="4" t="s">
        <v>21</v>
      </c>
      <c r="K488" s="4" t="s">
        <v>100</v>
      </c>
      <c r="L488" s="7" t="s">
        <v>101</v>
      </c>
    </row>
    <row r="489" spans="1:12" ht="29.4" thickBot="1" x14ac:dyDescent="0.35">
      <c r="A489" s="8">
        <v>488</v>
      </c>
      <c r="B489" s="9" t="s">
        <v>323</v>
      </c>
      <c r="C489" s="9" t="s">
        <v>784</v>
      </c>
      <c r="D489" s="9">
        <v>1</v>
      </c>
      <c r="E489" s="9" t="s">
        <v>785</v>
      </c>
      <c r="F489" s="11">
        <v>0.61518518518518517</v>
      </c>
      <c r="G489" s="9">
        <v>16</v>
      </c>
      <c r="H489" s="9">
        <v>16</v>
      </c>
      <c r="I489" s="9" t="s">
        <v>14</v>
      </c>
      <c r="J489" s="9" t="s">
        <v>15</v>
      </c>
      <c r="K489" s="9" t="s">
        <v>210</v>
      </c>
      <c r="L489" s="12" t="s">
        <v>211</v>
      </c>
    </row>
    <row r="490" spans="1:12" ht="29.4" thickBot="1" x14ac:dyDescent="0.35">
      <c r="A490" s="3">
        <v>489</v>
      </c>
      <c r="B490" s="4" t="s">
        <v>175</v>
      </c>
      <c r="C490" s="4" t="s">
        <v>786</v>
      </c>
      <c r="D490" s="4">
        <v>1</v>
      </c>
      <c r="E490" s="4" t="s">
        <v>785</v>
      </c>
      <c r="F490" s="6">
        <v>0.62266203703703704</v>
      </c>
      <c r="G490" s="4">
        <v>16.5</v>
      </c>
      <c r="H490" s="4">
        <v>16.5</v>
      </c>
      <c r="I490" s="4" t="s">
        <v>14</v>
      </c>
      <c r="J490" s="4" t="s">
        <v>31</v>
      </c>
      <c r="K490" s="4" t="s">
        <v>46</v>
      </c>
      <c r="L490" s="7" t="s">
        <v>47</v>
      </c>
    </row>
    <row r="491" spans="1:12" ht="29.4" thickBot="1" x14ac:dyDescent="0.35">
      <c r="A491" s="8">
        <v>490</v>
      </c>
      <c r="B491" s="9" t="s">
        <v>487</v>
      </c>
      <c r="C491" s="9" t="s">
        <v>787</v>
      </c>
      <c r="D491" s="9">
        <v>1</v>
      </c>
      <c r="E491" s="9" t="s">
        <v>785</v>
      </c>
      <c r="F491" s="11">
        <v>0.65244212962962966</v>
      </c>
      <c r="G491" s="9">
        <v>20.5</v>
      </c>
      <c r="H491" s="9">
        <v>20.5</v>
      </c>
      <c r="I491" s="9" t="s">
        <v>20</v>
      </c>
      <c r="J491" s="9" t="s">
        <v>15</v>
      </c>
      <c r="K491" s="9" t="s">
        <v>16</v>
      </c>
      <c r="L491" s="12" t="s">
        <v>17</v>
      </c>
    </row>
    <row r="492" spans="1:12" ht="43.8" thickBot="1" x14ac:dyDescent="0.35">
      <c r="A492" s="3">
        <v>491</v>
      </c>
      <c r="B492" s="4" t="s">
        <v>275</v>
      </c>
      <c r="C492" s="4" t="s">
        <v>788</v>
      </c>
      <c r="D492" s="4">
        <v>1</v>
      </c>
      <c r="E492" s="4" t="s">
        <v>785</v>
      </c>
      <c r="F492" s="6">
        <v>0.72217592592592594</v>
      </c>
      <c r="G492" s="4">
        <v>20.25</v>
      </c>
      <c r="H492" s="4">
        <v>20.25</v>
      </c>
      <c r="I492" s="4" t="s">
        <v>20</v>
      </c>
      <c r="J492" s="4" t="s">
        <v>26</v>
      </c>
      <c r="K492" s="4" t="s">
        <v>56</v>
      </c>
      <c r="L492" s="7" t="s">
        <v>57</v>
      </c>
    </row>
    <row r="493" spans="1:12" ht="29.4" thickBot="1" x14ac:dyDescent="0.35">
      <c r="A493" s="8">
        <v>492</v>
      </c>
      <c r="B493" s="9" t="s">
        <v>694</v>
      </c>
      <c r="C493" s="9" t="s">
        <v>789</v>
      </c>
      <c r="D493" s="9">
        <v>1</v>
      </c>
      <c r="E493" s="9" t="s">
        <v>790</v>
      </c>
      <c r="F493" s="11">
        <v>0.65128472222222222</v>
      </c>
      <c r="G493" s="9">
        <v>17.5</v>
      </c>
      <c r="H493" s="9">
        <v>17.5</v>
      </c>
      <c r="I493" s="9" t="s">
        <v>20</v>
      </c>
      <c r="J493" s="9" t="s">
        <v>15</v>
      </c>
      <c r="K493" s="9" t="s">
        <v>440</v>
      </c>
      <c r="L493" s="12" t="s">
        <v>441</v>
      </c>
    </row>
    <row r="494" spans="1:12" ht="43.8" thickBot="1" x14ac:dyDescent="0.35">
      <c r="A494" s="3">
        <v>493</v>
      </c>
      <c r="B494" s="4" t="s">
        <v>24</v>
      </c>
      <c r="C494" s="4" t="s">
        <v>791</v>
      </c>
      <c r="D494" s="4">
        <v>1</v>
      </c>
      <c r="E494" s="4" t="s">
        <v>792</v>
      </c>
      <c r="F494" s="6">
        <v>0.48807870370370371</v>
      </c>
      <c r="G494" s="4">
        <v>18.5</v>
      </c>
      <c r="H494" s="4">
        <v>18.5</v>
      </c>
      <c r="I494" s="4" t="s">
        <v>20</v>
      </c>
      <c r="J494" s="4" t="s">
        <v>26</v>
      </c>
      <c r="K494" s="4" t="s">
        <v>27</v>
      </c>
      <c r="L494" s="7" t="s">
        <v>28</v>
      </c>
    </row>
    <row r="495" spans="1:12" ht="29.4" thickBot="1" x14ac:dyDescent="0.35">
      <c r="A495" s="8">
        <v>494</v>
      </c>
      <c r="B495" s="9" t="s">
        <v>48</v>
      </c>
      <c r="C495" s="9" t="s">
        <v>793</v>
      </c>
      <c r="D495" s="9">
        <v>1</v>
      </c>
      <c r="E495" s="9" t="s">
        <v>794</v>
      </c>
      <c r="F495" s="11">
        <v>0.51107638888888884</v>
      </c>
      <c r="G495" s="9">
        <v>20.75</v>
      </c>
      <c r="H495" s="9">
        <v>20.75</v>
      </c>
      <c r="I495" s="9" t="s">
        <v>20</v>
      </c>
      <c r="J495" s="9" t="s">
        <v>31</v>
      </c>
      <c r="K495" s="9" t="s">
        <v>50</v>
      </c>
      <c r="L495" s="12" t="s">
        <v>51</v>
      </c>
    </row>
    <row r="496" spans="1:12" ht="15" thickBot="1" x14ac:dyDescent="0.35">
      <c r="A496" s="3">
        <v>495</v>
      </c>
      <c r="B496" s="4" t="s">
        <v>39</v>
      </c>
      <c r="C496" s="4" t="s">
        <v>219</v>
      </c>
      <c r="D496" s="4">
        <v>1</v>
      </c>
      <c r="E496" s="4" t="s">
        <v>794</v>
      </c>
      <c r="F496" s="6">
        <v>0.52156250000000004</v>
      </c>
      <c r="G496" s="4">
        <v>15.25</v>
      </c>
      <c r="H496" s="4">
        <v>15.25</v>
      </c>
      <c r="I496" s="4" t="s">
        <v>20</v>
      </c>
      <c r="J496" s="4" t="s">
        <v>15</v>
      </c>
      <c r="K496" s="4" t="s">
        <v>41</v>
      </c>
      <c r="L496" s="7" t="s">
        <v>42</v>
      </c>
    </row>
    <row r="497" spans="1:12" ht="29.4" thickBot="1" x14ac:dyDescent="0.35">
      <c r="A497" s="8">
        <v>496</v>
      </c>
      <c r="B497" s="9" t="s">
        <v>208</v>
      </c>
      <c r="C497" s="9" t="s">
        <v>795</v>
      </c>
      <c r="D497" s="9">
        <v>1</v>
      </c>
      <c r="E497" s="9" t="s">
        <v>794</v>
      </c>
      <c r="F497" s="11">
        <v>0.53814814814814815</v>
      </c>
      <c r="G497" s="9">
        <v>12</v>
      </c>
      <c r="H497" s="9">
        <v>12</v>
      </c>
      <c r="I497" s="9" t="s">
        <v>45</v>
      </c>
      <c r="J497" s="9" t="s">
        <v>15</v>
      </c>
      <c r="K497" s="9" t="s">
        <v>210</v>
      </c>
      <c r="L497" s="12" t="s">
        <v>211</v>
      </c>
    </row>
    <row r="498" spans="1:12" ht="29.4" thickBot="1" x14ac:dyDescent="0.35">
      <c r="A498" s="3">
        <v>497</v>
      </c>
      <c r="B498" s="4" t="s">
        <v>201</v>
      </c>
      <c r="C498" s="4" t="s">
        <v>796</v>
      </c>
      <c r="D498" s="4">
        <v>1</v>
      </c>
      <c r="E498" s="4" t="s">
        <v>794</v>
      </c>
      <c r="F498" s="6">
        <v>0.64496527777777779</v>
      </c>
      <c r="G498" s="4">
        <v>12</v>
      </c>
      <c r="H498" s="4">
        <v>12</v>
      </c>
      <c r="I498" s="4" t="s">
        <v>45</v>
      </c>
      <c r="J498" s="4" t="s">
        <v>15</v>
      </c>
      <c r="K498" s="4" t="s">
        <v>16</v>
      </c>
      <c r="L498" s="7" t="s">
        <v>17</v>
      </c>
    </row>
    <row r="499" spans="1:12" ht="29.4" thickBot="1" x14ac:dyDescent="0.35">
      <c r="A499" s="8">
        <v>498</v>
      </c>
      <c r="B499" s="9" t="s">
        <v>437</v>
      </c>
      <c r="C499" s="9" t="s">
        <v>634</v>
      </c>
      <c r="D499" s="9">
        <v>1</v>
      </c>
      <c r="E499" s="9" t="s">
        <v>794</v>
      </c>
      <c r="F499" s="11">
        <v>0.71403935185185186</v>
      </c>
      <c r="G499" s="9">
        <v>14.5</v>
      </c>
      <c r="H499" s="9">
        <v>14.5</v>
      </c>
      <c r="I499" s="9" t="s">
        <v>14</v>
      </c>
      <c r="J499" s="9" t="s">
        <v>15</v>
      </c>
      <c r="K499" s="9" t="s">
        <v>440</v>
      </c>
      <c r="L499" s="12" t="s">
        <v>441</v>
      </c>
    </row>
    <row r="500" spans="1:12" ht="15" thickBot="1" x14ac:dyDescent="0.35">
      <c r="A500" s="13">
        <v>499</v>
      </c>
      <c r="B500" s="14" t="s">
        <v>142</v>
      </c>
      <c r="C500" s="14" t="s">
        <v>797</v>
      </c>
      <c r="D500" s="14">
        <v>1</v>
      </c>
      <c r="E500" s="14" t="s">
        <v>794</v>
      </c>
      <c r="F500" s="15">
        <v>0.75876157407407407</v>
      </c>
      <c r="G500" s="14">
        <v>10.5</v>
      </c>
      <c r="H500" s="14">
        <v>10.5</v>
      </c>
      <c r="I500" s="14" t="s">
        <v>45</v>
      </c>
      <c r="J500" s="14" t="s">
        <v>15</v>
      </c>
      <c r="K500" s="14" t="s">
        <v>120</v>
      </c>
      <c r="L500" s="16" t="s">
        <v>121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6F74B-7567-4A44-B415-356321C55F00}">
  <dimension ref="B3:J43"/>
  <sheetViews>
    <sheetView zoomScale="85" zoomScaleNormal="85" workbookViewId="0">
      <selection activeCell="B13" sqref="B13:B16"/>
      <pivotSelection pane="bottomRight" showHeader="1" activeRow="12" activeCol="1" click="1" r:id="rId5">
        <pivotArea dataOnly="0" labelOnly="1" fieldPosition="0">
          <references count="1">
            <reference field="9" count="0"/>
          </references>
        </pivotArea>
      </pivotSelection>
    </sheetView>
  </sheetViews>
  <sheetFormatPr defaultRowHeight="14.4" x14ac:dyDescent="0.3"/>
  <cols>
    <col min="2" max="2" width="13.44140625" bestFit="1" customWidth="1"/>
    <col min="3" max="3" width="12.109375" bestFit="1" customWidth="1"/>
    <col min="4" max="4" width="21.77734375" bestFit="1" customWidth="1"/>
    <col min="5" max="5" width="25.5546875" bestFit="1" customWidth="1"/>
    <col min="6" max="6" width="12.109375" bestFit="1" customWidth="1"/>
    <col min="7" max="7" width="24.6640625" bestFit="1" customWidth="1"/>
    <col min="8" max="8" width="40.21875" bestFit="1" customWidth="1"/>
    <col min="9" max="9" width="21.77734375" bestFit="1" customWidth="1"/>
    <col min="10" max="10" width="26.88671875" bestFit="1" customWidth="1"/>
    <col min="11" max="65" width="40.33203125" bestFit="1" customWidth="1"/>
    <col min="66" max="66" width="30.33203125" bestFit="1" customWidth="1"/>
    <col min="67" max="67" width="16.44140625" bestFit="1" customWidth="1"/>
  </cols>
  <sheetData>
    <row r="3" spans="2:10" x14ac:dyDescent="0.3">
      <c r="B3" s="17" t="s">
        <v>798</v>
      </c>
      <c r="C3" t="s">
        <v>803</v>
      </c>
      <c r="E3" s="17" t="s">
        <v>798</v>
      </c>
      <c r="F3" t="s">
        <v>800</v>
      </c>
    </row>
    <row r="4" spans="2:10" x14ac:dyDescent="0.3">
      <c r="B4" s="18" t="s">
        <v>20</v>
      </c>
      <c r="C4" s="19">
        <v>4004.4999999999991</v>
      </c>
      <c r="E4" s="18" t="s">
        <v>807</v>
      </c>
      <c r="F4" s="19">
        <v>26</v>
      </c>
      <c r="H4" s="17" t="s">
        <v>798</v>
      </c>
      <c r="I4" t="s">
        <v>805</v>
      </c>
      <c r="J4" t="s">
        <v>800</v>
      </c>
    </row>
    <row r="5" spans="2:10" x14ac:dyDescent="0.3">
      <c r="B5" s="18" t="s">
        <v>14</v>
      </c>
      <c r="C5" s="19">
        <v>2262.25</v>
      </c>
      <c r="E5" s="18" t="s">
        <v>808</v>
      </c>
      <c r="F5" s="19">
        <v>55</v>
      </c>
      <c r="H5" s="18" t="s">
        <v>88</v>
      </c>
      <c r="I5" s="19">
        <v>21</v>
      </c>
      <c r="J5" s="19">
        <v>19</v>
      </c>
    </row>
    <row r="6" spans="2:10" x14ac:dyDescent="0.3">
      <c r="B6" s="18" t="s">
        <v>45</v>
      </c>
      <c r="C6" s="19">
        <v>1888.8000000000002</v>
      </c>
      <c r="E6" s="18" t="s">
        <v>809</v>
      </c>
      <c r="F6" s="19">
        <v>56</v>
      </c>
      <c r="H6" s="18" t="s">
        <v>199</v>
      </c>
      <c r="I6" s="19">
        <v>23</v>
      </c>
      <c r="J6" s="19">
        <v>20</v>
      </c>
    </row>
    <row r="7" spans="2:10" x14ac:dyDescent="0.3">
      <c r="B7" s="18" t="s">
        <v>36</v>
      </c>
      <c r="C7" s="19">
        <v>280.5</v>
      </c>
      <c r="E7" s="18" t="s">
        <v>810</v>
      </c>
      <c r="F7" s="19">
        <v>40</v>
      </c>
      <c r="H7" s="18" t="s">
        <v>729</v>
      </c>
      <c r="I7" s="19">
        <v>2</v>
      </c>
      <c r="J7" s="19">
        <v>2</v>
      </c>
    </row>
    <row r="8" spans="2:10" x14ac:dyDescent="0.3">
      <c r="B8" s="18" t="s">
        <v>799</v>
      </c>
      <c r="C8" s="19">
        <v>8436.0499999999993</v>
      </c>
      <c r="E8" s="18" t="s">
        <v>811</v>
      </c>
      <c r="F8" s="19">
        <v>34</v>
      </c>
      <c r="H8" s="18" t="s">
        <v>165</v>
      </c>
      <c r="I8" s="19">
        <v>10</v>
      </c>
      <c r="J8" s="19">
        <v>10</v>
      </c>
    </row>
    <row r="9" spans="2:10" x14ac:dyDescent="0.3">
      <c r="E9" s="18" t="s">
        <v>812</v>
      </c>
      <c r="F9" s="19">
        <v>41</v>
      </c>
      <c r="H9" s="18" t="s">
        <v>23</v>
      </c>
      <c r="I9" s="19">
        <v>14</v>
      </c>
      <c r="J9" s="19">
        <v>14</v>
      </c>
    </row>
    <row r="10" spans="2:10" x14ac:dyDescent="0.3">
      <c r="E10" s="18" t="s">
        <v>813</v>
      </c>
      <c r="F10" s="19">
        <v>72</v>
      </c>
      <c r="H10" s="18" t="s">
        <v>148</v>
      </c>
      <c r="I10" s="19">
        <v>5</v>
      </c>
      <c r="J10" s="19">
        <v>5</v>
      </c>
    </row>
    <row r="11" spans="2:10" x14ac:dyDescent="0.3">
      <c r="E11" s="18" t="s">
        <v>814</v>
      </c>
      <c r="F11" s="19">
        <v>55</v>
      </c>
      <c r="H11" s="18" t="s">
        <v>157</v>
      </c>
      <c r="I11" s="19">
        <v>16</v>
      </c>
      <c r="J11" s="19">
        <v>16</v>
      </c>
    </row>
    <row r="12" spans="2:10" x14ac:dyDescent="0.3">
      <c r="B12" s="17" t="s">
        <v>798</v>
      </c>
      <c r="C12" t="s">
        <v>803</v>
      </c>
      <c r="E12" s="18" t="s">
        <v>815</v>
      </c>
      <c r="F12" s="19">
        <v>51</v>
      </c>
      <c r="H12" s="18" t="s">
        <v>17</v>
      </c>
      <c r="I12" s="19">
        <v>30</v>
      </c>
      <c r="J12" s="19">
        <v>30</v>
      </c>
    </row>
    <row r="13" spans="2:10" x14ac:dyDescent="0.3">
      <c r="B13" s="18" t="s">
        <v>21</v>
      </c>
      <c r="C13" s="19">
        <v>1744</v>
      </c>
      <c r="E13" s="18" t="s">
        <v>816</v>
      </c>
      <c r="F13" s="19">
        <v>27</v>
      </c>
      <c r="H13" s="18" t="s">
        <v>28</v>
      </c>
      <c r="I13" s="19">
        <v>13</v>
      </c>
      <c r="J13" s="19">
        <v>12</v>
      </c>
    </row>
    <row r="14" spans="2:10" x14ac:dyDescent="0.3">
      <c r="B14" s="18" t="s">
        <v>15</v>
      </c>
      <c r="C14" s="19">
        <v>2274.75</v>
      </c>
      <c r="E14" s="18" t="s">
        <v>817</v>
      </c>
      <c r="F14" s="19">
        <v>27</v>
      </c>
      <c r="H14" s="18" t="s">
        <v>61</v>
      </c>
      <c r="I14" s="19">
        <v>25</v>
      </c>
      <c r="J14" s="19">
        <v>23</v>
      </c>
    </row>
    <row r="15" spans="2:10" x14ac:dyDescent="0.3">
      <c r="B15" s="18" t="s">
        <v>31</v>
      </c>
      <c r="C15" s="19">
        <v>2052.0500000000002</v>
      </c>
      <c r="E15" s="18" t="s">
        <v>818</v>
      </c>
      <c r="F15" s="19">
        <v>13</v>
      </c>
      <c r="H15" s="18" t="s">
        <v>38</v>
      </c>
      <c r="I15" s="19">
        <v>18</v>
      </c>
      <c r="J15" s="19">
        <v>18</v>
      </c>
    </row>
    <row r="16" spans="2:10" x14ac:dyDescent="0.3">
      <c r="B16" s="18" t="s">
        <v>26</v>
      </c>
      <c r="C16" s="19">
        <v>2365.2500000000009</v>
      </c>
      <c r="E16" s="18" t="s">
        <v>819</v>
      </c>
      <c r="F16" s="19">
        <v>2</v>
      </c>
      <c r="H16" s="18" t="s">
        <v>225</v>
      </c>
      <c r="I16" s="19">
        <v>13</v>
      </c>
      <c r="J16" s="19">
        <v>13</v>
      </c>
    </row>
    <row r="17" spans="2:10" x14ac:dyDescent="0.3">
      <c r="B17" s="18" t="s">
        <v>799</v>
      </c>
      <c r="C17" s="19">
        <v>8436.0500000000011</v>
      </c>
      <c r="E17" s="18" t="s">
        <v>799</v>
      </c>
      <c r="F17" s="19">
        <v>499</v>
      </c>
      <c r="H17" s="18" t="s">
        <v>121</v>
      </c>
      <c r="I17" s="19">
        <v>21</v>
      </c>
      <c r="J17" s="19">
        <v>21</v>
      </c>
    </row>
    <row r="18" spans="2:10" x14ac:dyDescent="0.3">
      <c r="H18" s="18" t="s">
        <v>207</v>
      </c>
      <c r="I18" s="19">
        <v>14</v>
      </c>
      <c r="J18" s="19">
        <v>14</v>
      </c>
    </row>
    <row r="19" spans="2:10" x14ac:dyDescent="0.3">
      <c r="H19" s="18" t="s">
        <v>51</v>
      </c>
      <c r="I19" s="19">
        <v>16</v>
      </c>
      <c r="J19" s="19">
        <v>16</v>
      </c>
    </row>
    <row r="20" spans="2:10" x14ac:dyDescent="0.3">
      <c r="H20" s="18" t="s">
        <v>76</v>
      </c>
      <c r="I20" s="19">
        <v>13</v>
      </c>
      <c r="J20" s="19">
        <v>12</v>
      </c>
    </row>
    <row r="21" spans="2:10" x14ac:dyDescent="0.3">
      <c r="H21" s="18" t="s">
        <v>109</v>
      </c>
      <c r="I21" s="19">
        <v>17</v>
      </c>
      <c r="J21" s="19">
        <v>16</v>
      </c>
    </row>
    <row r="22" spans="2:10" x14ac:dyDescent="0.3">
      <c r="E22" s="17" t="s">
        <v>798</v>
      </c>
      <c r="F22" t="s">
        <v>820</v>
      </c>
      <c r="H22" s="18" t="s">
        <v>57</v>
      </c>
      <c r="I22" s="19">
        <v>18</v>
      </c>
      <c r="J22" s="19">
        <v>18</v>
      </c>
    </row>
    <row r="23" spans="2:10" x14ac:dyDescent="0.3">
      <c r="E23" s="18" t="s">
        <v>17</v>
      </c>
      <c r="F23" s="19">
        <v>459</v>
      </c>
      <c r="H23" s="18" t="s">
        <v>211</v>
      </c>
      <c r="I23" s="19">
        <v>11</v>
      </c>
      <c r="J23" s="19">
        <v>11</v>
      </c>
    </row>
    <row r="24" spans="2:10" x14ac:dyDescent="0.3">
      <c r="E24" s="18" t="s">
        <v>116</v>
      </c>
      <c r="F24" s="19">
        <v>428.5</v>
      </c>
      <c r="H24" s="18" t="s">
        <v>96</v>
      </c>
      <c r="I24" s="19">
        <v>18</v>
      </c>
      <c r="J24" s="19">
        <v>18</v>
      </c>
    </row>
    <row r="25" spans="2:10" x14ac:dyDescent="0.3">
      <c r="E25" s="18" t="s">
        <v>38</v>
      </c>
      <c r="F25" s="19">
        <v>402</v>
      </c>
      <c r="H25" s="18" t="s">
        <v>42</v>
      </c>
      <c r="I25" s="19">
        <v>26</v>
      </c>
      <c r="J25" s="19">
        <v>26</v>
      </c>
    </row>
    <row r="26" spans="2:10" x14ac:dyDescent="0.3">
      <c r="E26" s="18" t="s">
        <v>61</v>
      </c>
      <c r="F26" s="19">
        <v>400.0499999999999</v>
      </c>
      <c r="H26" s="18" t="s">
        <v>441</v>
      </c>
      <c r="I26" s="19">
        <v>9</v>
      </c>
      <c r="J26" s="19">
        <v>9</v>
      </c>
    </row>
    <row r="27" spans="2:10" x14ac:dyDescent="0.3">
      <c r="E27" s="18" t="s">
        <v>88</v>
      </c>
      <c r="F27" s="19">
        <v>342.25</v>
      </c>
      <c r="H27" s="18" t="s">
        <v>47</v>
      </c>
      <c r="I27" s="19">
        <v>17</v>
      </c>
      <c r="J27" s="19">
        <v>17</v>
      </c>
    </row>
    <row r="28" spans="2:10" x14ac:dyDescent="0.3">
      <c r="E28" s="18" t="s">
        <v>799</v>
      </c>
      <c r="F28" s="19">
        <v>2031.8</v>
      </c>
      <c r="H28" s="18" t="s">
        <v>81</v>
      </c>
      <c r="I28" s="19">
        <v>22</v>
      </c>
      <c r="J28" s="19">
        <v>22</v>
      </c>
    </row>
    <row r="29" spans="2:10" x14ac:dyDescent="0.3">
      <c r="H29" s="18" t="s">
        <v>33</v>
      </c>
      <c r="I29" s="19">
        <v>15</v>
      </c>
      <c r="J29" s="19">
        <v>15</v>
      </c>
    </row>
    <row r="30" spans="2:10" x14ac:dyDescent="0.3">
      <c r="H30" s="18" t="s">
        <v>101</v>
      </c>
      <c r="I30" s="19">
        <v>18</v>
      </c>
      <c r="J30" s="19">
        <v>18</v>
      </c>
    </row>
    <row r="31" spans="2:10" x14ac:dyDescent="0.3">
      <c r="H31" s="18" t="s">
        <v>72</v>
      </c>
      <c r="I31" s="19">
        <v>17</v>
      </c>
      <c r="J31" s="19">
        <v>17</v>
      </c>
    </row>
    <row r="32" spans="2:10" x14ac:dyDescent="0.3">
      <c r="E32" s="17" t="s">
        <v>798</v>
      </c>
      <c r="F32" t="s">
        <v>803</v>
      </c>
      <c r="H32" s="18" t="s">
        <v>314</v>
      </c>
      <c r="I32" s="19">
        <v>14</v>
      </c>
      <c r="J32" s="19">
        <v>14</v>
      </c>
    </row>
    <row r="33" spans="5:10" x14ac:dyDescent="0.3">
      <c r="E33" s="18" t="s">
        <v>17</v>
      </c>
      <c r="F33" s="19">
        <v>459</v>
      </c>
      <c r="H33" s="18" t="s">
        <v>190</v>
      </c>
      <c r="I33" s="19">
        <v>11</v>
      </c>
      <c r="J33" s="19">
        <v>11</v>
      </c>
    </row>
    <row r="34" spans="5:10" x14ac:dyDescent="0.3">
      <c r="E34" s="18" t="s">
        <v>61</v>
      </c>
      <c r="F34" s="19">
        <v>432.74999999999989</v>
      </c>
      <c r="H34" s="18" t="s">
        <v>389</v>
      </c>
      <c r="I34" s="19">
        <v>5</v>
      </c>
      <c r="J34" s="19">
        <v>5</v>
      </c>
    </row>
    <row r="35" spans="5:10" x14ac:dyDescent="0.3">
      <c r="E35" s="18" t="s">
        <v>116</v>
      </c>
      <c r="F35" s="19">
        <v>428.5</v>
      </c>
      <c r="H35" s="18" t="s">
        <v>116</v>
      </c>
      <c r="I35" s="19">
        <v>22</v>
      </c>
      <c r="J35" s="19">
        <v>22</v>
      </c>
    </row>
    <row r="36" spans="5:10" x14ac:dyDescent="0.3">
      <c r="E36" s="18" t="s">
        <v>38</v>
      </c>
      <c r="F36" s="19">
        <v>402</v>
      </c>
      <c r="H36" s="18" t="s">
        <v>139</v>
      </c>
      <c r="I36" s="19">
        <v>17</v>
      </c>
      <c r="J36" s="19">
        <v>15</v>
      </c>
    </row>
    <row r="37" spans="5:10" x14ac:dyDescent="0.3">
      <c r="E37" s="18" t="s">
        <v>88</v>
      </c>
      <c r="F37" s="19">
        <v>383.75</v>
      </c>
      <c r="H37" s="18" t="s">
        <v>799</v>
      </c>
      <c r="I37" s="19">
        <v>511</v>
      </c>
      <c r="J37" s="19">
        <v>499</v>
      </c>
    </row>
    <row r="38" spans="5:10" x14ac:dyDescent="0.3">
      <c r="E38" s="18" t="s">
        <v>81</v>
      </c>
      <c r="F38" s="19">
        <v>341.5</v>
      </c>
    </row>
    <row r="39" spans="5:10" x14ac:dyDescent="0.3">
      <c r="E39" s="18" t="s">
        <v>57</v>
      </c>
      <c r="F39" s="19">
        <v>330.75</v>
      </c>
    </row>
    <row r="40" spans="5:10" x14ac:dyDescent="0.3">
      <c r="E40" s="18" t="s">
        <v>42</v>
      </c>
      <c r="F40" s="19">
        <v>327.75</v>
      </c>
    </row>
    <row r="41" spans="5:10" x14ac:dyDescent="0.3">
      <c r="E41" s="18" t="s">
        <v>101</v>
      </c>
      <c r="F41" s="19">
        <v>325.5</v>
      </c>
    </row>
    <row r="42" spans="5:10" x14ac:dyDescent="0.3">
      <c r="E42" s="18" t="s">
        <v>72</v>
      </c>
      <c r="F42" s="19">
        <v>302.75</v>
      </c>
    </row>
    <row r="43" spans="5:10" x14ac:dyDescent="0.3">
      <c r="E43" s="18" t="s">
        <v>799</v>
      </c>
      <c r="F43" s="19">
        <v>3734.25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AB5C7-9C06-4629-A7CE-3FD2083B15EB}">
  <dimension ref="A1:AF13"/>
  <sheetViews>
    <sheetView showGridLines="0" tabSelected="1" zoomScale="70" zoomScaleNormal="70" workbookViewId="0">
      <selection activeCell="AG11" sqref="AG11"/>
    </sheetView>
  </sheetViews>
  <sheetFormatPr defaultRowHeight="14.4" x14ac:dyDescent="0.3"/>
  <sheetData>
    <row r="1" spans="1:32" ht="14.4" customHeight="1" x14ac:dyDescent="0.3">
      <c r="A1" s="20" t="s">
        <v>801</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row>
    <row r="2" spans="1:32" x14ac:dyDescent="0.3">
      <c r="A2" s="20"/>
      <c r="B2" s="20"/>
      <c r="C2" s="20"/>
      <c r="D2" s="20"/>
      <c r="E2" s="20"/>
      <c r="F2" s="20"/>
      <c r="G2" s="20"/>
      <c r="H2" s="20"/>
      <c r="I2" s="20"/>
      <c r="J2" s="20"/>
      <c r="K2" s="20"/>
      <c r="L2" s="20"/>
      <c r="M2" s="20"/>
      <c r="N2" s="20"/>
      <c r="O2" s="20"/>
      <c r="P2" s="20"/>
      <c r="Q2" s="20"/>
      <c r="R2" s="20"/>
      <c r="S2" s="20"/>
      <c r="T2" s="20"/>
      <c r="U2" s="20"/>
      <c r="V2" s="20"/>
      <c r="W2" s="20"/>
      <c r="X2" s="20"/>
      <c r="Y2" s="20"/>
      <c r="Z2" s="20"/>
      <c r="AA2" s="20"/>
      <c r="AB2" s="20"/>
      <c r="AC2" s="20"/>
      <c r="AD2" s="20"/>
      <c r="AE2" s="20"/>
      <c r="AF2" s="20"/>
    </row>
    <row r="3" spans="1:32" x14ac:dyDescent="0.3">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row>
    <row r="4" spans="1:32" x14ac:dyDescent="0.3">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row>
    <row r="5" spans="1:32" x14ac:dyDescent="0.3">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1:32" x14ac:dyDescent="0.3">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1:32" x14ac:dyDescent="0.3">
      <c r="A7" s="21"/>
      <c r="B7" s="21"/>
      <c r="C7" s="27" t="s">
        <v>802</v>
      </c>
      <c r="D7" s="23"/>
      <c r="E7" s="23"/>
      <c r="F7" s="28">
        <f>GETPIVOTDATA("Sum of Sales",'Pivot Table'!$B$3)</f>
        <v>8436.0499999999993</v>
      </c>
      <c r="G7" s="28"/>
      <c r="H7" s="21"/>
      <c r="I7" s="21"/>
      <c r="J7" s="21"/>
      <c r="K7" s="26" t="s">
        <v>804</v>
      </c>
      <c r="L7" s="24"/>
      <c r="M7" s="24"/>
      <c r="N7" s="29">
        <f>GETPIVOTDATA("quantity (الكمية)",'Pivot Table'!$H$4)</f>
        <v>511</v>
      </c>
      <c r="O7" s="29"/>
      <c r="P7" s="21"/>
      <c r="Q7" s="21"/>
      <c r="R7" s="21"/>
      <c r="S7" s="21"/>
      <c r="T7" s="26" t="s">
        <v>806</v>
      </c>
      <c r="U7" s="25"/>
      <c r="V7" s="25"/>
      <c r="W7" s="30">
        <f>GETPIVOTDATA("Count of order_id (رقم الطلب)",'Pivot Table'!$H$4)</f>
        <v>499</v>
      </c>
      <c r="X7" s="30"/>
      <c r="Y7" s="21"/>
      <c r="Z7" s="22"/>
      <c r="AA7" s="22"/>
      <c r="AB7" s="22"/>
      <c r="AC7" s="22"/>
      <c r="AD7" s="22"/>
      <c r="AE7" s="22"/>
      <c r="AF7" s="22"/>
    </row>
    <row r="8" spans="1:32" x14ac:dyDescent="0.3">
      <c r="A8" s="21"/>
      <c r="B8" s="21"/>
      <c r="C8" s="23"/>
      <c r="D8" s="23"/>
      <c r="E8" s="23"/>
      <c r="F8" s="28"/>
      <c r="G8" s="28"/>
      <c r="H8" s="21"/>
      <c r="I8" s="21"/>
      <c r="J8" s="21"/>
      <c r="K8" s="24"/>
      <c r="L8" s="24"/>
      <c r="M8" s="24"/>
      <c r="N8" s="29"/>
      <c r="O8" s="29"/>
      <c r="P8" s="21"/>
      <c r="Q8" s="21"/>
      <c r="R8" s="21"/>
      <c r="S8" s="21"/>
      <c r="T8" s="25"/>
      <c r="U8" s="25"/>
      <c r="V8" s="25"/>
      <c r="W8" s="30"/>
      <c r="X8" s="30"/>
      <c r="Y8" s="21"/>
      <c r="Z8" s="22"/>
      <c r="AA8" s="22"/>
      <c r="AB8" s="22"/>
      <c r="AC8" s="22"/>
      <c r="AD8" s="22"/>
      <c r="AE8" s="22"/>
      <c r="AF8" s="22"/>
    </row>
    <row r="9" spans="1:32" x14ac:dyDescent="0.3">
      <c r="A9" s="21"/>
      <c r="B9" s="21"/>
      <c r="C9" s="21"/>
      <c r="D9" s="21"/>
      <c r="E9" s="21"/>
      <c r="F9" s="21"/>
      <c r="G9" s="21"/>
      <c r="H9" s="21"/>
      <c r="I9" s="21"/>
      <c r="J9" s="21"/>
      <c r="K9" s="21"/>
      <c r="L9" s="21"/>
      <c r="M9" s="21"/>
      <c r="N9" s="21"/>
      <c r="O9" s="21"/>
      <c r="P9" s="21"/>
      <c r="Q9" s="21"/>
      <c r="R9" s="21"/>
      <c r="S9" s="21"/>
      <c r="T9" s="21"/>
      <c r="U9" s="21"/>
      <c r="V9" s="21"/>
      <c r="W9" s="21"/>
      <c r="X9" s="21"/>
      <c r="Y9" s="21"/>
      <c r="Z9" s="22"/>
      <c r="AA9" s="22"/>
      <c r="AB9" s="22"/>
      <c r="AC9" s="22"/>
      <c r="AD9" s="22"/>
      <c r="AE9" s="22"/>
      <c r="AF9" s="22"/>
    </row>
    <row r="12" spans="1:32" x14ac:dyDescent="0.3">
      <c r="AD12" s="32" t="s">
        <v>821</v>
      </c>
      <c r="AE12" s="31"/>
      <c r="AF12" s="31"/>
    </row>
    <row r="13" spans="1:32" x14ac:dyDescent="0.3">
      <c r="AD13" s="31"/>
      <c r="AE13" s="31"/>
      <c r="AF13" s="31"/>
    </row>
  </sheetData>
  <mergeCells count="9">
    <mergeCell ref="AD12:AF13"/>
    <mergeCell ref="C7:E8"/>
    <mergeCell ref="F7:G8"/>
    <mergeCell ref="K7:M8"/>
    <mergeCell ref="N7:O8"/>
    <mergeCell ref="T7:V8"/>
    <mergeCell ref="W7:X8"/>
    <mergeCell ref="A1:AF6"/>
    <mergeCell ref="Z7:AF9"/>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390C871-0006-40E8-96CA-5AF3DC13D1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محمد ايمن</dc:creator>
  <cp:lastModifiedBy>محمد ايمن</cp:lastModifiedBy>
  <cp:lastPrinted>2026-09-04T23:07:36Z</cp:lastPrinted>
  <dcterms:created xsi:type="dcterms:W3CDTF">2026-09-03T20:35:54Z</dcterms:created>
  <dcterms:modified xsi:type="dcterms:W3CDTF">2026-09-04T23:09:32Z</dcterms:modified>
</cp:coreProperties>
</file>